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Question Mapping" sheetId="2" state="visible" r:id="rId4"/>
    <sheet name="Division Recommendations" sheetId="3" state="visible" r:id="rId5"/>
    <sheet name="Topic Summary" sheetId="4" state="visible" r:id="rId6"/>
    <sheet name="Recommendation Library" sheetId="5" state="visible" r:id="rId7"/>
    <sheet name="ISO 5230 Clause Referenc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<sst xmlns="http://schemas.openxmlformats.org/spreadsheetml/2006/main" count="574" uniqueCount="319">
  <si>
    <t xml:space="preserve">ISO/IEC 5230:2020 Question Mapping &amp; Recommendation Workbook</t>
  </si>
  <si>
    <t xml:space="preserve">Prepared for: Open Source Compliance Maturity Assessment</t>
  </si>
  <si>
    <t xml:space="preserve">What this workbook does</t>
  </si>
  <si>
    <t xml:space="preserve">This workbook maps all 27 assessment questions to the 6 key concepts (clauses) of ISO/IEC 5230:2020, weights each question within its topic by how mandatory and central it is to that clause, and produces a recommendation for every question based on the maturity score or Yes/No answer entered against it. Each recommendation is written for the specific control that question is testing, and describes what tends to help at that level of maturity.</t>
  </si>
  <si>
    <t xml:space="preserve">Sheet guide</t>
  </si>
  <si>
    <t xml:space="preserve">- Question Mapping: the core working sheet. Enter a score in column J for each question; columns K and L fill in with the maturity band and the matching recommendation.</t>
  </si>
  <si>
    <t xml:space="preserve">- Division Recommendations: one strategic narrative per topic (division) covering sequencing, dependencies and quick wins - use this for the executive-level conversation, not just the line-item detail.</t>
  </si>
  <si>
    <t xml:space="preserve">- Topic Summary: the weighting rollup showing each topic sums to 1.00, plus the topic-level concept description.</t>
  </si>
  <si>
    <t xml:space="preserve">- Recommendation Library: the backing data behind the auto-recommendation formulas. Edit text here if wording needs to change; the Question Mapping sheet will pick up edits automatically.</t>
  </si>
  <si>
    <t xml:space="preserve">- ISO 5230 Clause Reference: a paraphrased quick-reference to the standard's 13 core requirements, for context.</t>
  </si>
  <si>
    <t xml:space="preserve">How scoring and bands work</t>
  </si>
  <si>
    <t xml:space="preserve">Maturity Scale questions use the client's native 0-5 scale. Per the assessment brief, scores are grouped into three recommendation bands:</t>
  </si>
  <si>
    <t xml:space="preserve">   Band 0  =  0  (Not implemented - no evidence the control exists)</t>
  </si>
  <si>
    <t xml:space="preserve">   Band 1-2  =  1 or 2  (Initiated - the control is defined, or defined and implemented, enough to support initial self-certification)</t>
  </si>
  <si>
    <t xml:space="preserve">   Band 3-5  =  3, 4 or 5  (Formally managed and/or metrics-driven - a score of 5 sits at the top of this band as the leading-practice / fully optimized end, rather than as a separate band, since both 3-4 and 5 represent a control that has moved beyond basic implementation into active management)</t>
  </si>
  <si>
    <t xml:space="preserve">Yes/No questions get a recommendation keyed directly to the Yes or No answer. One question in the assessment - 'Is there any open source contribution?' - is a Gate question: its answer determines whether the very next question (the contribution policy) applies at all. If the gate is answered 'No', the contribution-policy row automatically shows an 'N/A' recommendation regardless of what score is entered there, because ISO 5230's Community Contributions clause only applies to organizations that contribute.</t>
  </si>
  <si>
    <t xml:space="preserve">How to enter scores</t>
  </si>
  <si>
    <t xml:space="preserve">Go to the Question Mapping sheet, column J ('Client Score'). Each cell has a dropdown - 0 through 5 for Maturity Scale questions, Yes/No for the two Yes/No questions. Once a score is entered, column K shows the resulting band and column L fills in with the matching recommendation. Leave a cell blank and column L will just prompt for a score.</t>
  </si>
  <si>
    <t xml:space="preserve">A professional note</t>
  </si>
  <si>
    <t xml:space="preserve">These recommendations are written as practical, general guidance to accelerate a client conversation - they are not a substitute for a qualified legal or compliance professional's review before being finalized in a client deliverable, particularly anywhere license-obligation interpretation or contractual risk is involved.</t>
  </si>
  <si>
    <t xml:space="preserve">Question ID</t>
  </si>
  <si>
    <t xml:space="preserve">Topic / Key Concept</t>
  </si>
  <si>
    <t xml:space="preserve">Rank in Topic</t>
  </si>
  <si>
    <t xml:space="preserve">Question</t>
  </si>
  <si>
    <t xml:space="preserve">ISO 5230:2020 Clause</t>
  </si>
  <si>
    <t xml:space="preserve">Requirement Type</t>
  </si>
  <si>
    <t xml:space="preserve">Weight</t>
  </si>
  <si>
    <t xml:space="preserve">Rationale</t>
  </si>
  <si>
    <t xml:space="preserve">Question Type</t>
  </si>
  <si>
    <t xml:space="preserve">Client Score</t>
  </si>
  <si>
    <t xml:space="preserve">Maturity / Answer Band</t>
  </si>
  <si>
    <t xml:space="preserve">Recommendation</t>
  </si>
  <si>
    <t xml:space="preserve">Q01</t>
  </si>
  <si>
    <t xml:space="preserve">1. Program Foundation (Policy, Roles, Competence, Awareness)</t>
  </si>
  <si>
    <t xml:space="preserve">Are open source compliance roles and responsibilities clearly defined, assigned, and documented for each individual whose work may impact performance?</t>
  </si>
  <si>
    <t xml:space="preserve">S3.1.2 Competence (VM 3.1.2.1)</t>
  </si>
  <si>
    <t xml:space="preserve">Mandatory (shall)</t>
  </si>
  <si>
    <t xml:space="preserve">Directly matches the standard's first Competence verification material - a documented list of roles and responsibilities. Foundational: the other competence/awareness requirements depend on roles being defined first.</t>
  </si>
  <si>
    <t xml:space="preserve">Maturity Scale (0-5)</t>
  </si>
  <si>
    <t xml:space="preserve">Q02</t>
  </si>
  <si>
    <t xml:space="preserve">Are the competencies for each role defined and aligned with your compliance program?</t>
  </si>
  <si>
    <t xml:space="preserve">S3.1.2 Competence (VM 3.1.2.2)</t>
  </si>
  <si>
    <t xml:space="preserve">Matches the second Competence verification material - determining the necessary competence per role. Second step after roles are defined.</t>
  </si>
  <si>
    <t xml:space="preserve">Q03</t>
  </si>
  <si>
    <t xml:space="preserve">Is each program participant's capabilities and competencies documented?</t>
  </si>
  <si>
    <t xml:space="preserve">S3.1.2 Competence (VM 3.1.2.3)</t>
  </si>
  <si>
    <t xml:space="preserve">Matches the third Competence verification material - documented evidence of assessed competence. Completes the 3-part requirement: roles -&gt; required competence -&gt; assessed evidence.</t>
  </si>
  <si>
    <t xml:space="preserve">Q04</t>
  </si>
  <si>
    <t xml:space="preserve">Is there any official documentation or defined procedure for employees to follow regarding the company's open source policy?</t>
  </si>
  <si>
    <t xml:space="preserve">S3.1.1 Policy (VM 3.1.1.1)</t>
  </si>
  <si>
    <t xml:space="preserve">This is the base requirement of the entire standard - a written, internally communicated open source policy must exist. Nearly every other clause assumes this policy exists.</t>
  </si>
  <si>
    <t xml:space="preserve">Q05</t>
  </si>
  <si>
    <t xml:space="preserve">Is there a documented policy that explains the scope, limits, and distribution rules for open source software?</t>
  </si>
  <si>
    <t xml:space="preserve">S3.1.4 Program Scope + S3.1.1 Policy</t>
  </si>
  <si>
    <t xml:space="preserve">Combines the Program Scope requirement (a written statement of scope and limits) with policy content on distribution. Scope must be declared before conformance can even be assessed.</t>
  </si>
  <si>
    <t xml:space="preserve">Q06</t>
  </si>
  <si>
    <t xml:space="preserve">Is there a documented procedure for reviewing and recording open source license obligations, restrictions, and rights for components listed in the SBOM?</t>
  </si>
  <si>
    <t xml:space="preserve">S3.1.5 License Obligations (VM 3.1.5.1)</t>
  </si>
  <si>
    <t xml:space="preserve">Matches the License Obligations requirement - a process to review identified licenses for obligations, restrictions and rights. Feeds directly into the BOM and license-use-case clauses.</t>
  </si>
  <si>
    <t xml:space="preserve">Q07</t>
  </si>
  <si>
    <t xml:space="preserve">Is there a system in place for mandatory learning and training on open-source software license compliance?</t>
  </si>
  <si>
    <t xml:space="preserve">S3.1.3 Awareness (VM 3.1.3.1)</t>
  </si>
  <si>
    <t xml:space="preserve">Matches the Awareness requirement - participants must be aware of the policy, objectives, their role, and the consequences of non-conformance, typically evidenced via training.</t>
  </si>
  <si>
    <t xml:space="preserve">Q08</t>
  </si>
  <si>
    <t xml:space="preserve">Is there an identification process to find out the requirements for each program role?</t>
  </si>
  <si>
    <t xml:space="preserve">S3.1.2 Competence (supporting)</t>
  </si>
  <si>
    <t xml:space="preserve">Overlaps with VM 3.1.2.2 (determining necessary competence per role) rather than being a distinct verification material, so weighted lower than the primary competence questions.</t>
  </si>
  <si>
    <t xml:space="preserve">Q09</t>
  </si>
  <si>
    <t xml:space="preserve">Is there documentation outlining the compliance requirements and obligations the organization must follow based on domain, customer contracts, service providers, or other relevant factors?</t>
  </si>
  <si>
    <t xml:space="preserve">S3.1.5 License Obligations (extension)</t>
  </si>
  <si>
    <t xml:space="preserve">Contextual / supporting</t>
  </si>
  <si>
    <t xml:space="preserve">Useful context feeding license-obligation reviews (domain- and contract-driven obligations), but not itself a distinct ISO 5230 verification material - supporting detail for S3.1.5.</t>
  </si>
  <si>
    <t xml:space="preserve">Subtotal - 1. Program Foundation (Policy, Roles, Competence, Awareness)</t>
  </si>
  <si>
    <t xml:space="preserve">Q10</t>
  </si>
  <si>
    <t xml:space="preserve">2. Program Resourcing &amp; External Access</t>
  </si>
  <si>
    <t xml:space="preserve">Is there a documented procedure for assigning internal responsibilities for open source compliance?</t>
  </si>
  <si>
    <t xml:space="preserve">S3.2.2 Effectively Resourced (VM 3.2.2.4)</t>
  </si>
  <si>
    <t xml:space="preserve">Directly matches the verification material requiring a documented procedure assigning internal compliance responsibilities - core to making the program actionable, not just defined on paper.</t>
  </si>
  <si>
    <t xml:space="preserve">Q11</t>
  </si>
  <si>
    <t xml:space="preserve">Is there a documented procedure for handling the review and remediation of Open Source non-compliant cases?</t>
  </si>
  <si>
    <t xml:space="preserve">S3.2.2 Effectively Resourced (VM 3.2.2.5)</t>
  </si>
  <si>
    <t xml:space="preserve">Directly matches the verification material for a non-compliance remediation procedure - a required resolution path for license issues, equally central to S3.2.</t>
  </si>
  <si>
    <t xml:space="preserve">Q12</t>
  </si>
  <si>
    <t xml:space="preserve">Is there a documented procedure in place for open source compliance inquiries to be received and responded to?</t>
  </si>
  <si>
    <t xml:space="preserve">S3.2.1 Access (VM 3.2.1.2)</t>
  </si>
  <si>
    <t xml:space="preserve">Matches the internal-side Access requirement: an internal procedure for responding to third-party compliance inquiries once received.</t>
  </si>
  <si>
    <t xml:space="preserve">Q13</t>
  </si>
  <si>
    <t xml:space="preserve">Has responsibility for receiving external open source compliance inquiries been assigned to specific individual(s)?</t>
  </si>
  <si>
    <t xml:space="preserve">S3.2.1 Access (supporting)</t>
  </si>
  <si>
    <t xml:space="preserve">Operational precondition for S3.2.1 - inquiries can't be handled unless a named owner exists to receive them.</t>
  </si>
  <si>
    <t xml:space="preserve">Q14</t>
  </si>
  <si>
    <t xml:space="preserve">Is the external open source compliance contact publicly identified, for example through an email address or contact details or the Linux Foundation Open Compliance Directory?</t>
  </si>
  <si>
    <t xml:space="preserve">S3.2.1 Access (VM 3.2.1.1)</t>
  </si>
  <si>
    <t xml:space="preserve">Matches the public-facing Access verification material - a publicly visible way for third parties to raise a compliance inquiry (e.g., published email or Open Compliance Directory listing).</t>
  </si>
  <si>
    <t xml:space="preserve">Yes / No</t>
  </si>
  <si>
    <t xml:space="preserve">Q15</t>
  </si>
  <si>
    <t xml:space="preserve">Have the persons, groups, or functions supporting the program roles been documented?</t>
  </si>
  <si>
    <t xml:space="preserve">S3.2.2 Effectively Resourced (VM 3.2.2.1)</t>
  </si>
  <si>
    <t xml:space="preserve">Matches the resourcing verification material naming persons/groups/functions in each program role, but overlaps substantially with the roles-and-responsibilities question already scored under Program Foundation, so weighted lowest here.</t>
  </si>
  <si>
    <t xml:space="preserve">Subtotal - 2. Program Resourcing &amp; External Access</t>
  </si>
  <si>
    <t xml:space="preserve">Q16</t>
  </si>
  <si>
    <t xml:space="preserve">3. Bill of Materials &amp; Content Review</t>
  </si>
  <si>
    <t xml:space="preserve">Is there a documented procedure for identifying, tracking, and archiving information about the open source components in the software that is distributed?</t>
  </si>
  <si>
    <t xml:space="preserve">S3.3.1 Bill of Materials (VM 3.3.1.1)</t>
  </si>
  <si>
    <t xml:space="preserve">This is the core Bill of Materials requirement - the documented procedure to identify, track, review, approve and archive OSS component information. The single most important item in this topic.</t>
  </si>
  <si>
    <t xml:space="preserve">Q17</t>
  </si>
  <si>
    <t xml:space="preserve">Is open source component inventory for the distributed software available, demonstrating that the documented procedure was properly followed?</t>
  </si>
  <si>
    <t xml:space="preserve">S3.3.1 Bill of Materials (VM 3.3.1.2)</t>
  </si>
  <si>
    <t xml:space="preserve">Matches the second BOM verification material - actual component records proving the procedure was followed, not just that it exists on paper.</t>
  </si>
  <si>
    <t xml:space="preserve">Q18</t>
  </si>
  <si>
    <t xml:space="preserve">Is there a system in place for verifying the Software Bill of Materials (SBOM) for the software products created and distributed by the organization?</t>
  </si>
  <si>
    <t xml:space="preserve">S3.3.1 Bill of Materials (verification emphasis)</t>
  </si>
  <si>
    <t xml:space="preserve">Reinforces S3.3.1 with an emphasis on verification/accuracy of the BOM for outbound (distributed) software, implicit in the standard's 'reviewing and approving' component records language.</t>
  </si>
  <si>
    <t xml:space="preserve">Q19</t>
  </si>
  <si>
    <t xml:space="preserve">Does the organization have a process to obtain SBOMs for procured software components and dependencies, including requirements from third-party vendors to ensure license compliance?</t>
  </si>
  <si>
    <t xml:space="preserve">Adjacent to S3.3.1 (inbound/procurement BOM)</t>
  </si>
  <si>
    <t xml:space="preserve">Supporting practice (not an explicit ISO 5230 requirement)</t>
  </si>
  <si>
    <t xml:space="preserve">ISO 5230's BOM requirement is scoped to the supplied (outbound) software, not inbound procurement. This is good practice feeding S3.1.5 and S3.3.1 but is not itself a cited verification material, so weighted as supporting rather than core.</t>
  </si>
  <si>
    <t xml:space="preserve">Q20</t>
  </si>
  <si>
    <t xml:space="preserve">Is there a system in place for conducting Software Composition Analysis (SCA) for both the software products created and those used by the organization?</t>
  </si>
  <si>
    <t xml:space="preserve">Adjacent to S3.3.1/S3.3.2 (tooling)</t>
  </si>
  <si>
    <t xml:space="preserve">SCA is a common tool used to satisfy the BOM and license-obligation requirements but is not named or mandated by the standard itself, so it is the lowest-weighted item in this topic.</t>
  </si>
  <si>
    <t xml:space="preserve">Subtotal - 3. Bill of Materials &amp; Content Review</t>
  </si>
  <si>
    <t xml:space="preserve">Q21</t>
  </si>
  <si>
    <t xml:space="preserve">4. Compliance Artifact Creation &amp; Delivery</t>
  </si>
  <si>
    <t xml:space="preserve">Is there a documented procedure in place describing the process for ensuring that compliance artifacts are distributed along with the distributed software as required by the identified licenses?</t>
  </si>
  <si>
    <t xml:space="preserve">S3.4.1 Compliance Artifacts (VM 3.4.1.1)</t>
  </si>
  <si>
    <t xml:space="preserve">The primary Compliance Artifacts requirement - the documented process for preparing and delivering artifacts (notices, source, license copies) with the software as licenses require.</t>
  </si>
  <si>
    <t xml:space="preserve">Q22</t>
  </si>
  <si>
    <t xml:space="preserve">Is there a documented procedure in place for archiving copies of compliance artifacts for the distributed software?</t>
  </si>
  <si>
    <t xml:space="preserve">S3.4.1 Compliance Artifacts (VM 3.4.1.2)</t>
  </si>
  <si>
    <t xml:space="preserve">Matches the archiving half of VM 3.4.1.2 - the documented procedure for retaining compliance artifact copies for the required period.</t>
  </si>
  <si>
    <t xml:space="preserve">Q23</t>
  </si>
  <si>
    <t xml:space="preserve">Are the compliance artifacts archived for at least as long as the distributed software is offered, and as required by the identified licenses?</t>
  </si>
  <si>
    <t xml:space="preserve">S3.4.1 Compliance Artifacts (VM 3.4.1.2, duration detail)</t>
  </si>
  <si>
    <t xml:space="preserve">Tests the retention-duration detail within VM 3.4.1.2 rather than the existence of the archiving procedure itself, so scored as a supporting check on the question above.</t>
  </si>
  <si>
    <t xml:space="preserve">Subtotal - 4. Compliance Artifact Creation &amp; Delivery</t>
  </si>
  <si>
    <t xml:space="preserve">Q24</t>
  </si>
  <si>
    <t xml:space="preserve">5. Open Source Community Contributions</t>
  </si>
  <si>
    <t xml:space="preserve">Is there any open source contribution?</t>
  </si>
  <si>
    <t xml:space="preserve">S3.5.1 Contributions (applicability gate)</t>
  </si>
  <si>
    <t xml:space="preserve">Gate / Conditional trigger</t>
  </si>
  <si>
    <t xml:space="preserve">Marked as the Gate Question in the source file. Per the standard, S3.5.1 only applies 'if an organization considers contributions' - this single Yes/No answer determines whether the entire clause, and the next question, is in scope at all.</t>
  </si>
  <si>
    <t xml:space="preserve">Yes / No (Gate)</t>
  </si>
  <si>
    <t xml:space="preserve">Q25</t>
  </si>
  <si>
    <t xml:space="preserve">Is there a policy in place for contributing to open source projects on behalf of the organization?</t>
  </si>
  <si>
    <t xml:space="preserve">S3.5.1 Contributions (VM 3.5.1.1)</t>
  </si>
  <si>
    <t xml:space="preserve">Mandatory only if gate = Yes</t>
  </si>
  <si>
    <t xml:space="preserve">Matches VM 3.5.1.1 - a documented open source contribution policy. Weighted just under the gate question because it is entirely conditional on that answer.</t>
  </si>
  <si>
    <t xml:space="preserve">Subtotal - 5. Open Source Community Contributions</t>
  </si>
  <si>
    <t xml:space="preserve">Q26</t>
  </si>
  <si>
    <t xml:space="preserve">6. Conformance &amp; Adherence</t>
  </si>
  <si>
    <t xml:space="preserve">Is there documentation verifying that the program complies with all the requirements of ISO 5230:2020?</t>
  </si>
  <si>
    <t xml:space="preserve">S3.6.1 Conformance (VM 3.6.1.1)</t>
  </si>
  <si>
    <t xml:space="preserve">The ultimate roll-up requirement - an affirming document that ALL requirements of the standard (not a subset) are satisfied. It depends on every other topic being in place, hence the higher weight of the two conformance questions.</t>
  </si>
  <si>
    <t xml:space="preserve">Q27</t>
  </si>
  <si>
    <t xml:space="preserve">Is there a documented procedure confirming that the program's conformance was reviewed within the last 18 months?</t>
  </si>
  <si>
    <t xml:space="preserve">S3.6.2 Duration (VM 3.6.2.1)</t>
  </si>
  <si>
    <t xml:space="preserve">Matches the Duration requirement - conformance is only valid for 18 months and must be re-affirmed, preventing the program from going stale.</t>
  </si>
  <si>
    <t xml:space="preserve">Subtotal - 6. Conformance &amp; Adherence</t>
  </si>
  <si>
    <t xml:space="preserve">#</t>
  </si>
  <si>
    <t xml:space="preserve">Division / Topic</t>
  </si>
  <si>
    <t xml:space="preserve">Strategic Recommendation</t>
  </si>
  <si>
    <t xml:space="preserve">ISO 5230:2020 S3.1</t>
  </si>
  <si>
    <t xml:space="preserve">Everything else rests on this topic. Policy and role definition are worth sequencing ahead of the rest, because a well-run BOM process still struggles to demonstrate much if there is no written policy or named owner standing behind it. Within the topic, policy and roles come first. Awareness, training and license obligation review follow naturally once those exist and are difficult to attempt before. Once this area is broadly at the defined-and-implemented level, attention is better spent on resourcing, since roles without people and budget behind them stay theoretical.</t>
  </si>
  <si>
    <t xml:space="preserve">ISO 5230:2020 S3.2</t>
  </si>
  <si>
    <t xml:space="preserve">This is where the program stops being a set of documents and starts operating. Internal responsibility assignment and the remediation route carry the most weight here, because between them they determine what happens when something goes wrong, which is the situation the program exists for. If resourcing is tight, these come before the external-facing controls. That said, the external access items, meaning a published contact and a described response process, are comparatively quick to close, often amounting to a shared mailbox and a stated response time. They are also the part of the program that customers and partners actually encounter, so there is a case for finishing them early rather than leaving them as tidy-up work.</t>
  </si>
  <si>
    <t xml:space="preserve">ISO 5230:2020 S3.3</t>
  </si>
  <si>
    <t xml:space="preserve">This topic does most of the operational work in the standard, and almost everything else either feeds it or consumes what it produces. The identification and tracking procedure, and the inventory records that come out of it, are the two to get right first. A well-populated BOM that has not been verified is still more useful than a verification process with nothing dependable to check. Once the basics hold, extending into supplier SBOMs and wider SCA coverage goes beyond what ISO 5230 asks for, though it lines up with where SBOM and xBOM expectations appear to be heading more generally, so the effort is rarely wasted.</t>
  </si>
  <si>
    <t xml:space="preserve">ISO 5230:2020 S3.4</t>
  </si>
  <si>
    <t xml:space="preserve">This is where the upstream work becomes visible to whoever received the software. A mature BOM and a careful license review achieve very little if the resulting notices and source offers never leave the building. The distribution procedure carries the heaviest weight in this topic deliberately, being the control tied most directly to meeting license terms in practice. Where effort is limited, getting distribution reliable first and treating archiving and retention as the follow-on is the sensible order.</t>
  </si>
  <si>
    <t xml:space="preserve">ISO 5230:2020 S3.5</t>
  </si>
  <si>
    <t xml:space="preserve">How much attention this topic deserves depends entirely on the gate answer. If there are no contributions, there is little value in building here beyond re-checking the answer periodically, and effort is better spent elsewhere. If there are contributions, the policy gap is worth treating as pressing rather than administrative, because the exposure arises at the point contributions are made and not at the point someone gets round to reviewing them.</t>
  </si>
  <si>
    <t xml:space="preserve">ISO 5230:2020 S3.6</t>
  </si>
  <si>
    <t xml:space="preserve">These two controls are the output of the other five topics rather than a workstream in their own right. Attempting the affirmation before the earlier areas are in reasonable shape carries its own risk, since a claim that does not hold up is a worse position than making no claim. Once conformance is reached, the 18-month cycle is what stops this assessment becoming a one-off snapshot, so putting the recurrence into the calendar at the same time as the first affirmation, rather than afterwards, is worth the small amount of effort.</t>
  </si>
  <si>
    <t xml:space="preserve"># Questions</t>
  </si>
  <si>
    <t xml:space="preserve">Total Weight (should = 1.00)</t>
  </si>
  <si>
    <t xml:space="preserve">Concept Description</t>
  </si>
  <si>
    <t xml:space="preserve">The written open source policy, defined roles/responsibilities, participant competence, awareness/training, program scope, and the process for reviewing license obligations. This is the base layer every other clause depends on.</t>
  </si>
  <si>
    <t xml:space="preserve">Making sure program roles are actually staffed, funded and accountable, that a remediation path exists for non-compliance, and that third parties have a public, working channel to raise compliance inquiries.</t>
  </si>
  <si>
    <t xml:space="preserve">Identifying, tracking and archiving the open source components (and their licenses) that make up distributed software, plus handling common license use-cases (binary/source distribution, modification, attribution, etc).</t>
  </si>
  <si>
    <t xml:space="preserve">Producing and delivering the compliance artifacts (notices, source offers, license copies, etc.) required by identified licenses, and archiving them for the required retention period.</t>
  </si>
  <si>
    <t xml:space="preserve">A conditional clause: only applies if the organization contributes to open source projects. If it does, a contribution policy, procedure and awareness process must exist.</t>
  </si>
  <si>
    <t xml:space="preserve">The formal affirmation that the program meets every requirement in the standard, and the 18-month cycle for re-confirming that conformance.</t>
  </si>
  <si>
    <t xml:space="preserve">TOTAL</t>
  </si>
  <si>
    <t xml:space="preserve">Note: each topic's weights are normalized to sum to 1.00 independently, reflecting relative priority WITHIN that topic (not across topics). Topic 5 (Contributions) is fully conditional on its gate question.</t>
  </si>
  <si>
    <t xml:space="preserve">Band / Answer</t>
  </si>
  <si>
    <t xml:space="preserve">Recommendation Text</t>
  </si>
  <si>
    <t xml:space="preserve">Lookup Key (hidden helper)</t>
  </si>
  <si>
    <t xml:space="preserve">Band 0</t>
  </si>
  <si>
    <t xml:space="preserve">Without named owners, most of the other controls have nowhere to sit. A simple RACI covering who writes the policy, who reviews and approves components, who flags license issues and who signs off on fixes is usually enough to begin with. Getting it endorsed by whoever sponsors the program gives the assignments some weight behind them.</t>
  </si>
  <si>
    <t xml:space="preserve">Band 1-2</t>
  </si>
  <si>
    <t xml:space="preserve">Roles are written down, which is the harder part. The gap at this stage is usually visibility: a RACI that lives in a document nobody opens tends not to survive the next reorganization. Adding these responsibilities into job descriptions or objectives, and putting the RACI somewhere people already look, helps them stick.</t>
  </si>
  <si>
    <t xml:space="preserve">Band 3-5</t>
  </si>
  <si>
    <t xml:space="preserve">Roles are defined and people are working to them. An annual re-check against organizational change, such as new product lines or team moves, keeps it current. Some organizations also watch how long a compliance role stays vacant, which gives early warning before a coverage gap becomes a problem.</t>
  </si>
  <si>
    <t xml:space="preserve">Roles may exist, but nothing states what a person in each one needs to be able to do. A short competency note per role covers this: whoever reviews SBOMs should be able to read SPDX or CycloneDX output and recognize the common license families, for instance. It gives you something concrete to hire against and to train towards.</t>
  </si>
  <si>
    <t xml:space="preserve">Competency profiles exist. What usually helps next is testing them against the work people actually do, since profiles written in the abstract drift from the real task list over time. Sharing them with people managers also means they get used at hiring and appraisal points.</t>
  </si>
  <si>
    <t xml:space="preserve">Competency requirements are defined and connected to the program. An annual skills matrix scored against these profiles shows where the real gaps sit, which makes training spend easier to target and to justify.</t>
  </si>
  <si>
    <t xml:space="preserve">There is currently no record of who holds which capability. A straightforward tracker covering completed training and any relevant certifications, such as the Linux Foundation OpenChain courses, covers the ground. ISO 5230 asks for documented evidence of assessed competence for each participant, so having something written matters here.</t>
  </si>
  <si>
    <t xml:space="preserve">Some records exist. The usual weakness is currency: they get created once and then fall behind as people join, change roles or finish training. Pulling everything into one place with a named owner responsible for updating it addresses most of that.</t>
  </si>
  <si>
    <t xml:space="preserve">Competence records are in place and maintained. Linking them to the role competency profiles turns a list of completed courses into a gap view, showing where required and actual competence diverge, which is more useful when planning.</t>
  </si>
  <si>
    <t xml:space="preserve">There is no written open source policy at present, and a good number of the other controls assume one exists. A short policy covering scope, acceptable license use, distribution rules and escalation paths will do to start. Worth getting Legal and a business sponsor to sign it off, and worth doing before putting much effort into the downstream areas.</t>
  </si>
  <si>
    <t xml:space="preserve">A policy exists. The common gap here is that it reads as a legal document when what people need is something they can act on. A short companion guide answering 'what am I supposed to do', published where engineering teams already work, usually closes the distance.</t>
  </si>
  <si>
    <t xml:space="preserve">There is a policy and people follow it. Putting it under version control, recording the owner and last review date inside the document itself, and setting a review cycle keeps it from aging out without anyone noticing.</t>
  </si>
  <si>
    <t xml:space="preserve">Nothing currently states what the program covers. Writing that down, whether a single product line, a business unit, or the whole organization, is worth doing early, since any later statement about compliance only means something relative to a declared scope. ISO 5230 asks for this as a written statement of scope and limits.</t>
  </si>
  <si>
    <t xml:space="preserve">Scope is stated. Distribution tends to be the thinner half. Listing the channels actually in use, whether binary, source, SaaS, embedded or OEM, is worth the effort because each can carry different obligations, and treating them as one thing misses cases.</t>
  </si>
  <si>
    <t xml:space="preserve">Scope and distribution rules are clear. The thing to watch is change: a new product line, a different delivery model or an acquisition can move the boundary without the statement being updated. Re-checking scope at those moments is worth building into the process.</t>
  </si>
  <si>
    <t xml:space="preserve">Components may well be getting identified, but there is no step that works out what each license actually requires. Even a basic table mapping common SPDX identifiers to their obligations, covering attribution, copyleft, source availability and NOTICE files, gives reviewers something to work from and stops identification effort going nowhere.</t>
  </si>
  <si>
    <t xml:space="preserve">A review process exists. What is often missing is a record of the outcome. Capturing a decision against each component, whether approved, approved with conditions or rejected, and attaching it to the component record means the reasoning survives beyond the conversation where it happened.</t>
  </si>
  <si>
    <t xml:space="preserve">License obligations are reviewed and recorded consistently. A reusable library of obligations by license saves analyzing the same licenses repeatedly and frees reviewer time for the genuinely unusual ones.</t>
  </si>
  <si>
    <t xml:space="preserve">There is no training in place. A single baseline module of half an hour or so, covering what open source is, why license terms matter and who to ask, aimed first at engineering and product roles, lifts general awareness fairly quickly and at low cost.</t>
  </si>
  <si>
    <t xml:space="preserve">Training exists, but it is often optional, untracked, or identical for everyone. Making completion mandatory against a tracked deadline, tying it to onboarding and adding an annual refresher covers most of the gap. Varying depth by role is the step after.</t>
  </si>
  <si>
    <t xml:space="preserve">Training is mandatory and running well. A short knowledge check tells you whether the content actually landed, which attendance figures on their own cannot. It is also worth refreshing content when the license landscape shifts, as it has recently around AI model and dataset licenses.</t>
  </si>
  <si>
    <t xml:space="preserve">Nothing currently sets out what each role needs to know or deliver. This sits close enough to the RACI and competency work that it is usually easier handled alongside them: for each role, note what it takes in, what it produces and what it answers for.</t>
  </si>
  <si>
    <t xml:space="preserve">There is a basic way of working this out. Turning it into a short checklist used whenever a role is created or changed makes it repeatable, so requirements get captured at the time and do not have to be reconstructed afterwards.</t>
  </si>
  <si>
    <t xml:space="preserve">Role requirements are worked out systematically. Comparing them against actual competency assessments periodically will show up roles whose real demands have outgrown the original description.</t>
  </si>
  <si>
    <t xml:space="preserve">Obligations that sit on top of license terms do not appear to be collected anywhere. These include customer contract clauses, export controls, sectoral guidance such as CERT-In's xBOM expectations, and vendor terms. A single register listing them next to license obligations helps reviewers spot conflicts while there is still room to act on them.</t>
  </si>
  <si>
    <t xml:space="preserve">Some of this is documented, though usually spread across contracts and individual knowledge. Bringing it into the same register used for license obligations, with Legal or Contracts owning new entries, makes it something people can actually consult.</t>
  </si>
  <si>
    <t xml:space="preserve">This context is documented and held centrally. Linking each entry to the products or programs it applies to means that when scope shifts, say a new customer or a new market, the additional obligations surface on their own.</t>
  </si>
  <si>
    <t xml:space="preserve">There is no described way of moving someone into a compliance role. A short procedure covering how an appointment is made, who approves it and when it takes effect gives the role structure something to operate through. ISO 5230 asks specifically for a documented procedure assigning internal responsibilities, so it is worth writing down even where the practice today is informal.</t>
  </si>
  <si>
    <t xml:space="preserve">An assignment procedure exists. Adding a trigger for reassignment on vacancy, reorganization or extended leave is the usual next step, since responsibility tends to lapse when someone moves on and nobody formally picks it up.</t>
  </si>
  <si>
    <t xml:space="preserve">Assignment works reliably. Keeping the history of assignments alongside the current position means you can show continuous coverage over time if a customer or certification body asks about it.</t>
  </si>
  <si>
    <t xml:space="preserve">There is no defined route for handling a non-compliant component or a license conflict once one turns up, which is worth addressing early. Even basic triage covering who gets told, how severity is judged and who can approve a release going ahead or being held reduces the chance of something shipping while still unresolved.</t>
  </si>
  <si>
    <t xml:space="preserve">A remediation procedure exists, though at this stage it is usually reactive and manual. Severity tiers with matching response times help. It is also worth checking the procedure covers post-release situations, such as retrofitting a fix or notifying customers, alongside problems caught before shipping.</t>
  </si>
  <si>
    <t xml:space="preserve">Remediation is well defined. Tracking time to resolution and how often the same issue type recurs turns it into something improvable, and recurring patterns usually point back at a policy or training gap worth closing at source.</t>
  </si>
  <si>
    <t xml:space="preserve">Nothing describes what happens when an external compliance question arrives. A simple flow covering who picks it up, how quickly it gets acknowledged and what the holding reply says will keep inquiries from sitting unread in a shared mailbox.</t>
  </si>
  <si>
    <t xml:space="preserve">There is a way of responding. Setting a target acknowledgment time and naming a second person to cover absences are the usual next steps, so a reply does not depend on one individual being at their desk.</t>
  </si>
  <si>
    <t xml:space="preserve">Inquiry handling is reliable. A simple log of volume and subject matter earns its keep over time; several questions clustering around one product's SBOM, for example, often points at documentation worth improving.</t>
  </si>
  <si>
    <t xml:space="preserve">Nobody is currently named as responsible for receiving external inquiries. Naming one person and a backup is quick to do and stops inquiries falling between teams while the fuller response process is still being built.</t>
  </si>
  <si>
    <t xml:space="preserve">Ownership is assigned, though possibly by convention rather than in writing. Recording it, and attaching it to a role or shared mailbox instead of a named individual, helps it survive staff changes.</t>
  </si>
  <si>
    <t xml:space="preserve">Ownership is clear and documented. A periodic check that the published contact is still monitored, such as sending a test inquiry once or twice a year, is a small habit that catches a contact point that has gone dormant.</t>
  </si>
  <si>
    <t xml:space="preserve">Yes</t>
  </si>
  <si>
    <t xml:space="preserve">A public contact is in place, which is what the Access requirement calls for. Two things are worth confirming: that it appears in more than one place, such as your own site and the Linux Foundation's Open Compliance Directory, and that someone is still watching it. An annual re-check is usually sufficient.</t>
  </si>
  <si>
    <t xml:space="preserve">No</t>
  </si>
  <si>
    <t xml:space="preserve">There is currently no public route for a third party to raise a compliance question. ISO 5230 asks for a publicly visible method, so this is a direct gap against the standard. Publishing a dedicated address, where a shared mailbox is the simplest option, and listing it in the Linux Foundation's Open Compliance Directory will close it. This is among the smaller pieces of work in the assessment and it is externally visible, so there is a case for doing it early.</t>
  </si>
  <si>
    <t xml:space="preserve">There is no record of who supports each role in practice. A simple staffing map naming the person or team against each role covers it. What matters here is being able to show the roles are actually filled.</t>
  </si>
  <si>
    <t xml:space="preserve">Some of this is recorded, usually incompletely. Keeping the staffing map in the same place and on the same update cycle as your assignment records stops the two drifting apart from each other.</t>
  </si>
  <si>
    <t xml:space="preserve">Staffing is documented and current. Cross-checking it against the assignment procedure during your periodic review will surface any mismatch between who is nominally assigned and who is genuinely resourced.</t>
  </si>
  <si>
    <t xml:space="preserve">There is no formal procedure for building a bill of materials for distributed software, and a large part of the standard depends on this one working. Something workable to begin with: identify components through SCA tooling or manual review, record them in a consistent format such as SPDX or CycloneDX, and keep a copy per release. The artifact and verification controls further down all rely on this producing something usable.</t>
  </si>
  <si>
    <t xml:space="preserve">A BOM procedure exists. Coverage and consistency are the usual weak points, with different product teams each doing it slightly differently. Settling on one way of working, and naming which tool or generator produces the authoritative BOM, removes most of that variation.</t>
  </si>
  <si>
    <t xml:space="preserve">The procedure is documented and followed. Automated freshness checks that flag any release whose BOM predates its last dependency change will catch drift without depending on someone remembering at release time.</t>
  </si>
  <si>
    <t xml:space="preserve">The procedure may well exist, but its output is not being kept. Retaining the actual BOM for each release is what demonstrates the procedure was followed. ISO 5230 asks for component records here alongside the documented method itself.</t>
  </si>
  <si>
    <t xml:space="preserve">Records exist for some releases. Making BOM generation and storage part of the release gate, instead of something done when there is time, is what produces consistent coverage. Back-filling for currently supported releases is worth doing where it is practical.</t>
  </si>
  <si>
    <t xml:space="preserve">Inventory records are consistently kept. Making them queryable across releases is the useful next step, since it lets you answer 'which of our products contain component X' in minutes, which matters a great deal when a widely used component develops a license or security problem.</t>
  </si>
  <si>
    <t xml:space="preserve">BOMs are being produced but nothing checks them. Adding a verification step, even a manual spot-check against the package manifest, is worth having before license decisions start being made on their strength.</t>
  </si>
  <si>
    <t xml:space="preserve">Some verification happens, usually by hand and unevenly. Cross-checking output against a second detection method, and recording how much of it agreed, gives you a real coverage figure rather than an assumption.</t>
  </si>
  <si>
    <t xml:space="preserve">Verification is systematic. Tracking detection coverage and cross-validation rates as program measures, and setting a threshold below which a release gets manual review, is what turns those numbers into something that changes behavior.</t>
  </si>
  <si>
    <t xml:space="preserve">There is no process for obtaining SBOMs from suppliers. Adding an SBOM clause to standard procurement terms going forward, and asking your most significant existing suppliers for one, is a reasonable first pass. Worth noting that this sits outside ISO 5230's scope, which concerns the software you supply rather than the software you buy, but it addresses a genuine gap in supply chain visibility.</t>
  </si>
  <si>
    <t xml:space="preserve">A process exists but is applied case by case. Making SBOM delivery a standard procurement requirement, with a stated minimum format and completeness bar, produces more consistent results than asking each time.</t>
  </si>
  <si>
    <t xml:space="preserve">Inbound SBOM collection is routine. Loading supplier SBOMs into the same inventory you use for your own components gives a single combined view of exposure across bought and built software.</t>
  </si>
  <si>
    <t xml:space="preserve">There is no SCA capability at present. Adopting one that covers both what you build and what you consume is the practical way to make the BOM work above achievable beyond a handful of products.</t>
  </si>
  <si>
    <t xml:space="preserve">SCA is in place but partial, often covering created software only, or only some product lines. Extending it to the missing side and using a consistent detection approach makes results comparable across products. As with the previous question, SCA is not named in ISO 5230 itself; it is the tooling that makes the requirements achievable at scale.</t>
  </si>
  <si>
    <t xml:space="preserve">SCA runs across both created and consumed software. Benchmarking detection coverage against a second method occasionally, whether another scanner or a manual audit, is worth the effort, since no single tool catches everything and the gaps are hard to see from inside one tool.</t>
  </si>
  <si>
    <t xml:space="preserve">Nothing currently ensures that notices, license copies and source offers actually go out with the software. This is the point at which license obligations become something the customer receives, which is why it carries the most weight in this topic. A release checklist mapping each identified license to the artifact it requires, checked before shipping, is a reasonable place to start.</t>
  </si>
  <si>
    <t xml:space="preserve">A process exists but does not run the same way every time. Automating what you can, such as generating NOTICE files or attribution bundles from the BOM, removes a manual step that tends to be the first casualty when a release is under time pressure.</t>
  </si>
  <si>
    <t xml:space="preserve">Artifact delivery is consistent. Sampling a few shipped releases each quarter to confirm the artifacts genuinely reached the customer is worth adding, since generating them and delivering them can fail independently of one another.</t>
  </si>
  <si>
    <t xml:space="preserve">There is no archiving procedure. Deciding where artifacts are kept, for how long and who can retrieve them matters because some obligations, such as a written offer for source code, can be exercised long after a release has shipped.</t>
  </si>
  <si>
    <t xml:space="preserve">Archiving happens, though often informally and scattered across individual release folders. One controlled archive with a consistent naming convention tied to release version is what makes retrieval realistic under time pressure.</t>
  </si>
  <si>
    <t xml:space="preserve">Archiving is centralized and defined. Setting retention periods by license family is a worthwhile refinement, since obligations differ and a single blanket period will be either too short for some licenses or longer than necessary for others.</t>
  </si>
  <si>
    <t xml:space="preserve">Retention periods are not being tracked. Once the archive itself exists, setting the period to the longer of the product's supported life and whatever the license requires, and recording why that period was chosen, gives you something you can stand behind.</t>
  </si>
  <si>
    <t xml:space="preserve">Artifacts are retained but duration is not actively checked. An expiry flag on the archive prevents records being cleared during a routine storage clean-up before their period has actually run.</t>
  </si>
  <si>
    <t xml:space="preserve">Retention is tracked and enforced. Retrieving an older set occasionally as part of internal review confirms the archive can still produce records on request, which is a different question from whether it is holding them.</t>
  </si>
  <si>
    <t xml:space="preserve">Contributions are happening, so the Community Contributions clause applies to your program and the contribution policy question below is in scope. It is worth making sure engineering leads know that new contribution activity should route through whatever approval path the policy sets out, since unmanaged contribution carries IP and licensing exposure in its own right.</t>
  </si>
  <si>
    <t xml:space="preserve">No contribution activity was reported, so this clause does not currently apply and the contribution policy question below can be treated as not applicable for conformance purposes. Worth revisiting on the same cycle as your conformance review rather than treating it as settled, because contribution often starts informally, with a bug fix or a pull request, some time before anyone thinks of it as organizational activity.</t>
  </si>
  <si>
    <t xml:space="preserve">Given that contributions are happening, this is a live gap rather than a documentation exercise. A policy covering what may be contributed, under which license, who approves it and what it means for IP ownership is worth putting in place and communicating while contribution activity continues.</t>
  </si>
  <si>
    <t xml:space="preserve">A policy exists but may not be widely known or consistently applied. Pairing it with a simple approval step before a contribution goes upstream is usually what turns it from a document into a practice.</t>
  </si>
  <si>
    <t xml:space="preserve">The contribution policy is established and used. Tracking contribution volume, and which projects and licenses are involved, gives light governance visibility that tends to matter more as engagement with upstream communities grows.</t>
  </si>
  <si>
    <t xml:space="preserve">There is no conformance affirmation yet. This one reads better as a signal about the other five areas than as a gap to close on its own. Once the underlying controls are in reasonable shape, the affirmation can be drafted against the evidence supporting each requirement in the standard.</t>
  </si>
  <si>
    <t xml:space="preserve">Something exists, possibly in draft. Mapping it requirement by requirement rather than as a general statement makes it easier to maintain, since you can see at a glance which evidence supports which clause and where the thin spots are.</t>
  </si>
  <si>
    <t xml:space="preserve">A current affirmation is in place. Keeping it stored alongside the evidence it refers to means the whole package can be produced quickly if a customer or certification body asks for it.</t>
  </si>
  <si>
    <t xml:space="preserve">No review cycle is in place. ISO 5230 sets conformance to last 18 months from the date validation was obtained, so a scheduled review with a named owner responsible for starting it is what keeps a conformance claim current.</t>
  </si>
  <si>
    <t xml:space="preserve">Reviews happen but are not reliably scheduled or recorded. A recurring calendar commitment with a defined checklist, which in practice means re-running this assessment, takes the dependency off someone remembering.</t>
  </si>
  <si>
    <t xml:space="preserve">The review cycle is established. Using each round to trend maturity scores over time lets you show movement rather than a repeated pass or fail, which usually makes for a more productive conversation with stakeholders.</t>
  </si>
  <si>
    <t xml:space="preserve">Clause</t>
  </si>
  <si>
    <t xml:space="preserve">Title</t>
  </si>
  <si>
    <t xml:space="preserve">What it requires (paraphrased)</t>
  </si>
  <si>
    <t xml:space="preserve"># Verification Materials</t>
  </si>
  <si>
    <t xml:space="preserve">Mandatory?</t>
  </si>
  <si>
    <t xml:space="preserve">S3.1.1</t>
  </si>
  <si>
    <t xml:space="preserve">Policy</t>
  </si>
  <si>
    <t xml:space="preserve">A written, internally-communicated open source policy must exist.</t>
  </si>
  <si>
    <t xml:space="preserve">S3.1.2</t>
  </si>
  <si>
    <t xml:space="preserve">Competence</t>
  </si>
  <si>
    <t xml:space="preserve">Roles/responsibilities defined; required competence identified per role; competence assessed and evidenced.</t>
  </si>
  <si>
    <t xml:space="preserve">S3.1.3</t>
  </si>
  <si>
    <t xml:space="preserve">Awareness</t>
  </si>
  <si>
    <t xml:space="preserve">Participants must be made aware of the policy, objectives, their role, and consequences of non-conformance.</t>
  </si>
  <si>
    <t xml:space="preserve">S3.1.4</t>
  </si>
  <si>
    <t xml:space="preserve">Program scope</t>
  </si>
  <si>
    <t xml:space="preserve">A written statement declares the scope and limits of the program (product line, department, or whole org).</t>
  </si>
  <si>
    <t xml:space="preserve">S3.1.5</t>
  </si>
  <si>
    <t xml:space="preserve">License obligations</t>
  </si>
  <si>
    <t xml:space="preserve">A process reviews identified licenses to determine obligations, restrictions and rights.</t>
  </si>
  <si>
    <t xml:space="preserve">S3.2.1</t>
  </si>
  <si>
    <t xml:space="preserve">Access</t>
  </si>
  <si>
    <t xml:space="preserve">A public channel exists for third parties to raise compliance inquiries, plus an internal response procedure.</t>
  </si>
  <si>
    <t xml:space="preserve">S3.2.2</t>
  </si>
  <si>
    <t xml:space="preserve">Effectively resourced</t>
  </si>
  <si>
    <t xml:space="preserve">Program roles are staffed, funded, given legal-expertise access, and have a non-compliance remediation path.</t>
  </si>
  <si>
    <t xml:space="preserve">S3.3.1</t>
  </si>
  <si>
    <t xml:space="preserve">Bill of materials</t>
  </si>
  <si>
    <t xml:space="preserve">A documented procedure identifies, tracks, reviews, approves and archives OSS components in supplied software; records prove it was followed.</t>
  </si>
  <si>
    <t xml:space="preserve">S3.3.2</t>
  </si>
  <si>
    <t xml:space="preserve">License compliance (use cases)</t>
  </si>
  <si>
    <t xml:space="preserve">The program can handle common license use-cases: binary/source distribution, modification, incompatible-license interaction, attribution, etc.</t>
  </si>
  <si>
    <t xml:space="preserve">S3.4.1</t>
  </si>
  <si>
    <t xml:space="preserve">Compliance artifacts</t>
  </si>
  <si>
    <t xml:space="preserve">Artifacts (notices, source, license copies) are prepared/delivered with the software, and archived for the required retention period.</t>
  </si>
  <si>
    <t xml:space="preserve">S3.5.1</t>
  </si>
  <si>
    <t xml:space="preserve">Contributions</t>
  </si>
  <si>
    <t xml:space="preserve">IF the organization contributes to open source, a written, communicated contribution policy and procedure must exist.</t>
  </si>
  <si>
    <t xml:space="preserve">Conditional - only if org contributes</t>
  </si>
  <si>
    <t xml:space="preserve">S3.6.1</t>
  </si>
  <si>
    <t xml:space="preserve">Conformance</t>
  </si>
  <si>
    <t xml:space="preserve">A document affirms the program satisfies ALL requirements of the standard (not a subset).</t>
  </si>
  <si>
    <t xml:space="preserve">S3.6.2</t>
  </si>
  <si>
    <t xml:space="preserve">Duration</t>
  </si>
  <si>
    <t xml:space="preserve">Conformance is valid for 18 months from validation and must be re-affirmed on that cycle.</t>
  </si>
  <si>
    <t xml:space="preserve">Source: ISO/IEC 5230:2020 'Information technology - OpenChain Specification' (13 core requirements, S3.1-S3.6). Paraphrased for internal reference; not a reproduction of the standard's text.</t>
  </si>
</sst>
</file>

<file path=xl/styles.xml><?xml version="1.0" encoding="utf-8"?>
<styleSheet xmlns="http://schemas.openxmlformats.org/spreadsheetml/2006/main">
  <numFmts count="3">
    <numFmt numFmtId="164" formatCode="General"/>
    <numFmt numFmtId="165" formatCode="0.00"/>
    <numFmt numFmtId="166"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95959"/>
      <name val="Arial"/>
      <family val="0"/>
      <charset val="1"/>
    </font>
    <font>
      <b val="true"/>
      <sz val="12"/>
      <color rgb="FF1F3864"/>
      <name val="Arial"/>
      <family val="0"/>
      <charset val="1"/>
    </font>
    <font>
      <sz val="11"/>
      <color rgb="FF000000"/>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i val="true"/>
      <sz val="9"/>
      <name val="Arial"/>
      <family val="0"/>
      <charset val="1"/>
    </font>
    <font>
      <sz val="9"/>
      <color rgb="FFA6A6A6"/>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D9E2F3"/>
        <bgColor rgb="FFE2EFDA"/>
      </patternFill>
    </fill>
    <fill>
      <patternFill patternType="solid">
        <fgColor rgb="FFFFF2CC"/>
        <bgColor rgb="FFE2EFDA"/>
      </patternFill>
    </fill>
    <fill>
      <patternFill patternType="solid">
        <fgColor rgb="FFFFFFFF"/>
        <bgColor rgb="FFFFF2CC"/>
      </patternFill>
    </fill>
    <fill>
      <patternFill patternType="solid">
        <fgColor rgb="FF375623"/>
        <bgColor rgb="FF595959"/>
      </patternFill>
    </fill>
    <fill>
      <patternFill patternType="solid">
        <fgColor rgb="FFE2EFDA"/>
        <bgColor rgb="FFD9E2F3"/>
      </patternFill>
    </fill>
    <fill>
      <patternFill patternType="solid">
        <fgColor rgb="FF7F7F7F"/>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5" fontId="11" fillId="3"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5" fontId="10" fillId="4"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5" fontId="11" fillId="5"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6" fontId="10" fillId="4"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19.7" hidden="false" customHeight="false" outlineLevel="0" collapsed="false">
      <c r="B2" s="1" t="s">
        <v>0</v>
      </c>
    </row>
    <row r="4" customFormat="false" ht="15" hidden="false" customHeight="false" outlineLevel="0" collapsed="false">
      <c r="B4" s="2" t="s">
        <v>1</v>
      </c>
    </row>
    <row r="7" customFormat="false" ht="15" hidden="false" customHeight="false" outlineLevel="0" collapsed="false">
      <c r="B7" s="3" t="s">
        <v>2</v>
      </c>
    </row>
    <row r="9" customFormat="false" ht="52.2" hidden="false" customHeight="false" outlineLevel="0" collapsed="false">
      <c r="B9" s="4" t="s">
        <v>3</v>
      </c>
    </row>
    <row r="11" customFormat="false" ht="15" hidden="false" customHeight="false" outlineLevel="0" collapsed="false">
      <c r="B11" s="3" t="s">
        <v>4</v>
      </c>
    </row>
    <row r="13" customFormat="false" ht="26.85" hidden="false" customHeight="false" outlineLevel="0" collapsed="false">
      <c r="B13" s="4" t="s">
        <v>5</v>
      </c>
    </row>
    <row r="15" customFormat="false" ht="26.85" hidden="false" customHeight="false" outlineLevel="0" collapsed="false">
      <c r="B15" s="4" t="s">
        <v>6</v>
      </c>
    </row>
    <row r="17" customFormat="false" ht="15" hidden="false" customHeight="false" outlineLevel="0" collapsed="false">
      <c r="B17" s="4" t="s">
        <v>7</v>
      </c>
    </row>
    <row r="19" customFormat="false" ht="26.85" hidden="false" customHeight="false" outlineLevel="0" collapsed="false">
      <c r="B19" s="4" t="s">
        <v>8</v>
      </c>
    </row>
    <row r="21" customFormat="false" ht="15" hidden="false" customHeight="false" outlineLevel="0" collapsed="false">
      <c r="B21" s="4" t="s">
        <v>9</v>
      </c>
    </row>
    <row r="23" customFormat="false" ht="15" hidden="false" customHeight="false" outlineLevel="0" collapsed="false">
      <c r="B23" s="3" t="s">
        <v>10</v>
      </c>
    </row>
    <row r="25" customFormat="false" ht="26.85" hidden="false" customHeight="false" outlineLevel="0" collapsed="false">
      <c r="B25" s="4" t="s">
        <v>11</v>
      </c>
    </row>
    <row r="27" customFormat="false" ht="15" hidden="false" customHeight="false" outlineLevel="0" collapsed="false">
      <c r="B27" s="4" t="s">
        <v>12</v>
      </c>
    </row>
    <row r="29" customFormat="false" ht="26.85" hidden="false" customHeight="false" outlineLevel="0" collapsed="false">
      <c r="B29" s="4" t="s">
        <v>13</v>
      </c>
    </row>
    <row r="31" customFormat="false" ht="39.55" hidden="false" customHeight="false" outlineLevel="0" collapsed="false">
      <c r="B31" s="4" t="s">
        <v>14</v>
      </c>
    </row>
    <row r="33" customFormat="false" ht="64.9" hidden="false" customHeight="false" outlineLevel="0" collapsed="false">
      <c r="B33" s="4" t="s">
        <v>15</v>
      </c>
    </row>
    <row r="35" customFormat="false" ht="15" hidden="false" customHeight="false" outlineLevel="0" collapsed="false">
      <c r="B35" s="3" t="s">
        <v>16</v>
      </c>
    </row>
    <row r="37" customFormat="false" ht="39.55" hidden="false" customHeight="false" outlineLevel="0" collapsed="false">
      <c r="B37" s="4" t="s">
        <v>17</v>
      </c>
    </row>
    <row r="39" customFormat="false" ht="15" hidden="false" customHeight="false" outlineLevel="0" collapsed="false">
      <c r="B39" s="3" t="s">
        <v>18</v>
      </c>
    </row>
    <row r="41" customFormat="false" ht="35.05" hidden="false" customHeight="false" outlineLevel="0" collapsed="false">
      <c r="B41"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8"/>
    <col collapsed="false" customWidth="true" hidden="false" outlineLevel="0" max="4" min="4" style="0" width="46"/>
    <col collapsed="false" customWidth="true" hidden="false" outlineLevel="0" max="5" min="5" style="0" width="22"/>
    <col collapsed="false" customWidth="true" hidden="false" outlineLevel="0" max="6" min="6" style="0" width="20"/>
    <col collapsed="false" customWidth="true" hidden="false" outlineLevel="0" max="7" min="7" style="0" width="8"/>
    <col collapsed="false" customWidth="true" hidden="false" outlineLevel="0" max="8" min="8" style="0" width="46"/>
    <col collapsed="false" customWidth="true" hidden="false" outlineLevel="0" max="9" min="9" style="0" width="16"/>
    <col collapsed="false" customWidth="true" hidden="false" outlineLevel="0" max="10" min="10" style="0" width="10"/>
    <col collapsed="false" customWidth="true" hidden="false" outlineLevel="0" max="11" min="11" style="0" width="12"/>
    <col collapsed="false" customWidth="true" hidden="false" outlineLevel="0" max="12" min="12"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row>
    <row r="2" customFormat="false" ht="57.45" hidden="false" customHeight="false" outlineLevel="0" collapsed="false">
      <c r="A2" s="7" t="s">
        <v>32</v>
      </c>
      <c r="B2" s="8" t="s">
        <v>33</v>
      </c>
      <c r="C2" s="9" t="n">
        <v>1</v>
      </c>
      <c r="D2" s="8" t="s">
        <v>34</v>
      </c>
      <c r="E2" s="9" t="s">
        <v>35</v>
      </c>
      <c r="F2" s="9" t="s">
        <v>36</v>
      </c>
      <c r="G2" s="10" t="n">
        <v>0.16</v>
      </c>
      <c r="H2" s="8" t="s">
        <v>37</v>
      </c>
      <c r="I2" s="9" t="s">
        <v>38</v>
      </c>
      <c r="J2" s="9"/>
      <c r="K2" s="11" t="str">
        <f aca="false">IF(J2="","",IF(J2=0,"Band 0",IF(J2&lt;=2,"Band 1-2","Band 3-5")))</f>
        <v/>
      </c>
      <c r="L2" s="12" t="str">
        <f aca="false">IF(K2="","Enter a score in column J to see the recommendation.",IFERROR(INDEX('Recommendation Library'!$C:$C,MATCH($A2&amp;"|"&amp;K2,'Recommendation Library'!$D:$D,0)),"Recommendation not found - check the Recommendation Library tab."))</f>
        <v>Enter a score in column J to see the recommendation.</v>
      </c>
    </row>
    <row r="3" customFormat="false" ht="35.05" hidden="false" customHeight="false" outlineLevel="0" collapsed="false">
      <c r="A3" s="7" t="s">
        <v>39</v>
      </c>
      <c r="B3" s="8" t="s">
        <v>33</v>
      </c>
      <c r="C3" s="9" t="n">
        <v>2</v>
      </c>
      <c r="D3" s="8" t="s">
        <v>40</v>
      </c>
      <c r="E3" s="9" t="s">
        <v>41</v>
      </c>
      <c r="F3" s="9" t="s">
        <v>36</v>
      </c>
      <c r="G3" s="10" t="n">
        <v>0.14</v>
      </c>
      <c r="H3" s="8" t="s">
        <v>42</v>
      </c>
      <c r="I3" s="9" t="s">
        <v>38</v>
      </c>
      <c r="J3" s="9"/>
      <c r="K3" s="11" t="str">
        <f aca="false">IF(J3="","",IF(J3=0,"Band 0",IF(J3&lt;=2,"Band 1-2","Band 3-5")))</f>
        <v/>
      </c>
      <c r="L3" s="12" t="str">
        <f aca="false">IF(K3="","Enter a score in column J to see the recommendation.",IFERROR(INDEX('Recommendation Library'!$C:$C,MATCH($A3&amp;"|"&amp;K3,'Recommendation Library'!$D:$D,0)),"Recommendation not found - check the Recommendation Library tab."))</f>
        <v>Enter a score in column J to see the recommendation.</v>
      </c>
    </row>
    <row r="4" customFormat="false" ht="46.25" hidden="false" customHeight="false" outlineLevel="0" collapsed="false">
      <c r="A4" s="7" t="s">
        <v>43</v>
      </c>
      <c r="B4" s="8" t="s">
        <v>33</v>
      </c>
      <c r="C4" s="9" t="n">
        <v>3</v>
      </c>
      <c r="D4" s="8" t="s">
        <v>44</v>
      </c>
      <c r="E4" s="9" t="s">
        <v>45</v>
      </c>
      <c r="F4" s="9" t="s">
        <v>36</v>
      </c>
      <c r="G4" s="10" t="n">
        <v>0.13</v>
      </c>
      <c r="H4" s="8" t="s">
        <v>46</v>
      </c>
      <c r="I4" s="9" t="s">
        <v>38</v>
      </c>
      <c r="J4" s="9"/>
      <c r="K4" s="11" t="str">
        <f aca="false">IF(J4="","",IF(J4=0,"Band 0",IF(J4&lt;=2,"Band 1-2","Band 3-5")))</f>
        <v/>
      </c>
      <c r="L4" s="12" t="str">
        <f aca="false">IF(K4="","Enter a score in column J to see the recommendation.",IFERROR(INDEX('Recommendation Library'!$C:$C,MATCH($A4&amp;"|"&amp;K4,'Recommendation Library'!$D:$D,0)),"Recommendation not found - check the Recommendation Library tab."))</f>
        <v>Enter a score in column J to see the recommendation.</v>
      </c>
    </row>
    <row r="5" customFormat="false" ht="46.25" hidden="false" customHeight="false" outlineLevel="0" collapsed="false">
      <c r="A5" s="7" t="s">
        <v>47</v>
      </c>
      <c r="B5" s="8" t="s">
        <v>33</v>
      </c>
      <c r="C5" s="9" t="n">
        <v>4</v>
      </c>
      <c r="D5" s="8" t="s">
        <v>48</v>
      </c>
      <c r="E5" s="9" t="s">
        <v>49</v>
      </c>
      <c r="F5" s="9" t="s">
        <v>36</v>
      </c>
      <c r="G5" s="10" t="n">
        <v>0.13</v>
      </c>
      <c r="H5" s="8" t="s">
        <v>50</v>
      </c>
      <c r="I5" s="9" t="s">
        <v>38</v>
      </c>
      <c r="J5" s="9"/>
      <c r="K5" s="11" t="str">
        <f aca="false">IF(J5="","",IF(J5=0,"Band 0",IF(J5&lt;=2,"Band 1-2","Band 3-5")))</f>
        <v/>
      </c>
      <c r="L5" s="12" t="str">
        <f aca="false">IF(K5="","Enter a score in column J to see the recommendation.",IFERROR(INDEX('Recommendation Library'!$C:$C,MATCH($A5&amp;"|"&amp;K5,'Recommendation Library'!$D:$D,0)),"Recommendation not found - check the Recommendation Library tab."))</f>
        <v>Enter a score in column J to see the recommendation.</v>
      </c>
    </row>
    <row r="6" customFormat="false" ht="46.25" hidden="false" customHeight="false" outlineLevel="0" collapsed="false">
      <c r="A6" s="7" t="s">
        <v>51</v>
      </c>
      <c r="B6" s="8" t="s">
        <v>33</v>
      </c>
      <c r="C6" s="9" t="n">
        <v>5</v>
      </c>
      <c r="D6" s="8" t="s">
        <v>52</v>
      </c>
      <c r="E6" s="9" t="s">
        <v>53</v>
      </c>
      <c r="F6" s="9" t="s">
        <v>36</v>
      </c>
      <c r="G6" s="10" t="n">
        <v>0.12</v>
      </c>
      <c r="H6" s="8" t="s">
        <v>54</v>
      </c>
      <c r="I6" s="9" t="s">
        <v>38</v>
      </c>
      <c r="J6" s="9"/>
      <c r="K6" s="11" t="str">
        <f aca="false">IF(J6="","",IF(J6=0,"Band 0",IF(J6&lt;=2,"Band 1-2","Band 3-5")))</f>
        <v/>
      </c>
      <c r="L6" s="12" t="str">
        <f aca="false">IF(K6="","Enter a score in column J to see the recommendation.",IFERROR(INDEX('Recommendation Library'!$C:$C,MATCH($A6&amp;"|"&amp;K6,'Recommendation Library'!$D:$D,0)),"Recommendation not found - check the Recommendation Library tab."))</f>
        <v>Enter a score in column J to see the recommendation.</v>
      </c>
    </row>
    <row r="7" customFormat="false" ht="46.25" hidden="false" customHeight="false" outlineLevel="0" collapsed="false">
      <c r="A7" s="7" t="s">
        <v>55</v>
      </c>
      <c r="B7" s="8" t="s">
        <v>33</v>
      </c>
      <c r="C7" s="9" t="n">
        <v>6</v>
      </c>
      <c r="D7" s="8" t="s">
        <v>56</v>
      </c>
      <c r="E7" s="9" t="s">
        <v>57</v>
      </c>
      <c r="F7" s="9" t="s">
        <v>36</v>
      </c>
      <c r="G7" s="10" t="n">
        <v>0.11</v>
      </c>
      <c r="H7" s="8" t="s">
        <v>58</v>
      </c>
      <c r="I7" s="9" t="s">
        <v>38</v>
      </c>
      <c r="J7" s="9"/>
      <c r="K7" s="11" t="str">
        <f aca="false">IF(J7="","",IF(J7=0,"Band 0",IF(J7&lt;=2,"Band 1-2","Band 3-5")))</f>
        <v/>
      </c>
      <c r="L7" s="12" t="str">
        <f aca="false">IF(K7="","Enter a score in column J to see the recommendation.",IFERROR(INDEX('Recommendation Library'!$C:$C,MATCH($A7&amp;"|"&amp;K7,'Recommendation Library'!$D:$D,0)),"Recommendation not found - check the Recommendation Library tab."))</f>
        <v>Enter a score in column J to see the recommendation.</v>
      </c>
    </row>
    <row r="8" customFormat="false" ht="46.25" hidden="false" customHeight="false" outlineLevel="0" collapsed="false">
      <c r="A8" s="7" t="s">
        <v>59</v>
      </c>
      <c r="B8" s="8" t="s">
        <v>33</v>
      </c>
      <c r="C8" s="9" t="n">
        <v>7</v>
      </c>
      <c r="D8" s="8" t="s">
        <v>60</v>
      </c>
      <c r="E8" s="9" t="s">
        <v>61</v>
      </c>
      <c r="F8" s="9" t="s">
        <v>36</v>
      </c>
      <c r="G8" s="10" t="n">
        <v>0.1</v>
      </c>
      <c r="H8" s="8" t="s">
        <v>62</v>
      </c>
      <c r="I8" s="9" t="s">
        <v>38</v>
      </c>
      <c r="J8" s="9"/>
      <c r="K8" s="11" t="str">
        <f aca="false">IF(J8="","",IF(J8=0,"Band 0",IF(J8&lt;=2,"Band 1-2","Band 3-5")))</f>
        <v/>
      </c>
      <c r="L8" s="12" t="str">
        <f aca="false">IF(K8="","Enter a score in column J to see the recommendation.",IFERROR(INDEX('Recommendation Library'!$C:$C,MATCH($A8&amp;"|"&amp;K8,'Recommendation Library'!$D:$D,0)),"Recommendation not found - check the Recommendation Library tab."))</f>
        <v>Enter a score in column J to see the recommendation.</v>
      </c>
    </row>
    <row r="9" customFormat="false" ht="46.25" hidden="false" customHeight="false" outlineLevel="0" collapsed="false">
      <c r="A9" s="7" t="s">
        <v>63</v>
      </c>
      <c r="B9" s="8" t="s">
        <v>33</v>
      </c>
      <c r="C9" s="9" t="n">
        <v>8</v>
      </c>
      <c r="D9" s="8" t="s">
        <v>64</v>
      </c>
      <c r="E9" s="9" t="s">
        <v>65</v>
      </c>
      <c r="F9" s="9" t="s">
        <v>36</v>
      </c>
      <c r="G9" s="10" t="n">
        <v>0.06</v>
      </c>
      <c r="H9" s="8" t="s">
        <v>66</v>
      </c>
      <c r="I9" s="9" t="s">
        <v>38</v>
      </c>
      <c r="J9" s="9"/>
      <c r="K9" s="11" t="str">
        <f aca="false">IF(J9="","",IF(J9=0,"Band 0",IF(J9&lt;=2,"Band 1-2","Band 3-5")))</f>
        <v/>
      </c>
      <c r="L9" s="12" t="str">
        <f aca="false">IF(K9="","Enter a score in column J to see the recommendation.",IFERROR(INDEX('Recommendation Library'!$C:$C,MATCH($A9&amp;"|"&amp;K9,'Recommendation Library'!$D:$D,0)),"Recommendation not found - check the Recommendation Library tab."))</f>
        <v>Enter a score in column J to see the recommendation.</v>
      </c>
    </row>
    <row r="10" customFormat="false" ht="46.25" hidden="false" customHeight="false" outlineLevel="0" collapsed="false">
      <c r="A10" s="7" t="s">
        <v>67</v>
      </c>
      <c r="B10" s="8" t="s">
        <v>33</v>
      </c>
      <c r="C10" s="9" t="n">
        <v>9</v>
      </c>
      <c r="D10" s="8" t="s">
        <v>68</v>
      </c>
      <c r="E10" s="9" t="s">
        <v>69</v>
      </c>
      <c r="F10" s="9" t="s">
        <v>70</v>
      </c>
      <c r="G10" s="10" t="n">
        <v>0.05</v>
      </c>
      <c r="H10" s="8" t="s">
        <v>71</v>
      </c>
      <c r="I10" s="9" t="s">
        <v>38</v>
      </c>
      <c r="J10" s="9"/>
      <c r="K10" s="11" t="str">
        <f aca="false">IF(J10="","",IF(J10=0,"Band 0",IF(J10&lt;=2,"Band 1-2","Band 3-5")))</f>
        <v/>
      </c>
      <c r="L10" s="12" t="str">
        <f aca="false">IF(K10="","Enter a score in column J to see the recommendation.",IFERROR(INDEX('Recommendation Library'!$C:$C,MATCH($A10&amp;"|"&amp;K10,'Recommendation Library'!$D:$D,0)),"Recommendation not found - check the Recommendation Library tab."))</f>
        <v>Enter a score in column J to see the recommendation.</v>
      </c>
    </row>
    <row r="11" customFormat="false" ht="15" hidden="false" customHeight="true" outlineLevel="0" collapsed="false">
      <c r="A11" s="13" t="s">
        <v>72</v>
      </c>
      <c r="B11" s="13"/>
      <c r="C11" s="13"/>
      <c r="D11" s="13"/>
      <c r="E11" s="13"/>
      <c r="F11" s="13"/>
      <c r="G11" s="14" t="n">
        <f aca="false">SUM(G2:G10)</f>
        <v>1</v>
      </c>
      <c r="H11" s="13"/>
      <c r="I11" s="13"/>
      <c r="J11" s="13"/>
      <c r="K11" s="13"/>
      <c r="L11" s="13"/>
    </row>
    <row r="12" customFormat="false" ht="46.25" hidden="false" customHeight="false" outlineLevel="0" collapsed="false">
      <c r="A12" s="15" t="s">
        <v>73</v>
      </c>
      <c r="B12" s="16" t="s">
        <v>74</v>
      </c>
      <c r="C12" s="17" t="n">
        <v>1</v>
      </c>
      <c r="D12" s="16" t="s">
        <v>75</v>
      </c>
      <c r="E12" s="17" t="s">
        <v>76</v>
      </c>
      <c r="F12" s="17" t="s">
        <v>36</v>
      </c>
      <c r="G12" s="18" t="n">
        <v>0.2</v>
      </c>
      <c r="H12" s="16" t="s">
        <v>77</v>
      </c>
      <c r="I12" s="17" t="s">
        <v>38</v>
      </c>
      <c r="J12" s="17"/>
      <c r="K12" s="11" t="str">
        <f aca="false">IF(J12="","",IF(J12=0,"Band 0",IF(J12&lt;=2,"Band 1-2","Band 3-5")))</f>
        <v/>
      </c>
      <c r="L12" s="12" t="str">
        <f aca="false">IF(K12="","Enter a score in column J to see the recommendation.",IFERROR(INDEX('Recommendation Library'!$C:$C,MATCH($A12&amp;"|"&amp;K12,'Recommendation Library'!$D:$D,0)),"Recommendation not found - check the Recommendation Library tab."))</f>
        <v>Enter a score in column J to see the recommendation.</v>
      </c>
    </row>
    <row r="13" customFormat="false" ht="46.25" hidden="false" customHeight="false" outlineLevel="0" collapsed="false">
      <c r="A13" s="15" t="s">
        <v>78</v>
      </c>
      <c r="B13" s="16" t="s">
        <v>74</v>
      </c>
      <c r="C13" s="17" t="n">
        <v>2</v>
      </c>
      <c r="D13" s="16" t="s">
        <v>79</v>
      </c>
      <c r="E13" s="17" t="s">
        <v>80</v>
      </c>
      <c r="F13" s="17" t="s">
        <v>36</v>
      </c>
      <c r="G13" s="18" t="n">
        <v>0.2</v>
      </c>
      <c r="H13" s="16" t="s">
        <v>81</v>
      </c>
      <c r="I13" s="17" t="s">
        <v>38</v>
      </c>
      <c r="J13" s="17"/>
      <c r="K13" s="11" t="str">
        <f aca="false">IF(J13="","",IF(J13=0,"Band 0",IF(J13&lt;=2,"Band 1-2","Band 3-5")))</f>
        <v/>
      </c>
      <c r="L13" s="12" t="str">
        <f aca="false">IF(K13="","Enter a score in column J to see the recommendation.",IFERROR(INDEX('Recommendation Library'!$C:$C,MATCH($A13&amp;"|"&amp;K13,'Recommendation Library'!$D:$D,0)),"Recommendation not found - check the Recommendation Library tab."))</f>
        <v>Enter a score in column J to see the recommendation.</v>
      </c>
    </row>
    <row r="14" customFormat="false" ht="35.05" hidden="false" customHeight="false" outlineLevel="0" collapsed="false">
      <c r="A14" s="15" t="s">
        <v>82</v>
      </c>
      <c r="B14" s="16" t="s">
        <v>74</v>
      </c>
      <c r="C14" s="17" t="n">
        <v>3</v>
      </c>
      <c r="D14" s="16" t="s">
        <v>83</v>
      </c>
      <c r="E14" s="17" t="s">
        <v>84</v>
      </c>
      <c r="F14" s="17" t="s">
        <v>36</v>
      </c>
      <c r="G14" s="18" t="n">
        <v>0.17</v>
      </c>
      <c r="H14" s="16" t="s">
        <v>85</v>
      </c>
      <c r="I14" s="17" t="s">
        <v>38</v>
      </c>
      <c r="J14" s="17"/>
      <c r="K14" s="11" t="str">
        <f aca="false">IF(J14="","",IF(J14=0,"Band 0",IF(J14&lt;=2,"Band 1-2","Band 3-5")))</f>
        <v/>
      </c>
      <c r="L14" s="12" t="str">
        <f aca="false">IF(K14="","Enter a score in column J to see the recommendation.",IFERROR(INDEX('Recommendation Library'!$C:$C,MATCH($A14&amp;"|"&amp;K14,'Recommendation Library'!$D:$D,0)),"Recommendation not found - check the Recommendation Library tab."))</f>
        <v>Enter a score in column J to see the recommendation.</v>
      </c>
    </row>
    <row r="15" customFormat="false" ht="35.05" hidden="false" customHeight="false" outlineLevel="0" collapsed="false">
      <c r="A15" s="15" t="s">
        <v>86</v>
      </c>
      <c r="B15" s="16" t="s">
        <v>74</v>
      </c>
      <c r="C15" s="17" t="n">
        <v>4</v>
      </c>
      <c r="D15" s="16" t="s">
        <v>87</v>
      </c>
      <c r="E15" s="17" t="s">
        <v>88</v>
      </c>
      <c r="F15" s="17" t="s">
        <v>36</v>
      </c>
      <c r="G15" s="18" t="n">
        <v>0.15</v>
      </c>
      <c r="H15" s="16" t="s">
        <v>89</v>
      </c>
      <c r="I15" s="17" t="s">
        <v>38</v>
      </c>
      <c r="J15" s="17"/>
      <c r="K15" s="11" t="str">
        <f aca="false">IF(J15="","",IF(J15=0,"Band 0",IF(J15&lt;=2,"Band 1-2","Band 3-5")))</f>
        <v/>
      </c>
      <c r="L15" s="12" t="str">
        <f aca="false">IF(K15="","Enter a score in column J to see the recommendation.",IFERROR(INDEX('Recommendation Library'!$C:$C,MATCH($A15&amp;"|"&amp;K15,'Recommendation Library'!$D:$D,0)),"Recommendation not found - check the Recommendation Library tab."))</f>
        <v>Enter a score in column J to see the recommendation.</v>
      </c>
    </row>
    <row r="16" customFormat="false" ht="46.25" hidden="false" customHeight="false" outlineLevel="0" collapsed="false">
      <c r="A16" s="15" t="s">
        <v>90</v>
      </c>
      <c r="B16" s="16" t="s">
        <v>74</v>
      </c>
      <c r="C16" s="17" t="n">
        <v>5</v>
      </c>
      <c r="D16" s="16" t="s">
        <v>91</v>
      </c>
      <c r="E16" s="17" t="s">
        <v>92</v>
      </c>
      <c r="F16" s="17" t="s">
        <v>36</v>
      </c>
      <c r="G16" s="18" t="n">
        <v>0.15</v>
      </c>
      <c r="H16" s="16" t="s">
        <v>93</v>
      </c>
      <c r="I16" s="17" t="s">
        <v>94</v>
      </c>
      <c r="J16" s="17"/>
      <c r="K16" s="11" t="str">
        <f aca="false">IF(J16="","",J16)</f>
        <v/>
      </c>
      <c r="L16" s="12" t="str">
        <f aca="false">IF(K16="","Enter a score in column J to see the recommendation.",IFERROR(INDEX('Recommendation Library'!$C:$C,MATCH($A16&amp;"|"&amp;K16,'Recommendation Library'!$D:$D,0)),"Recommendation not found - check the Recommendation Library tab."))</f>
        <v>Enter a score in column J to see the recommendation.</v>
      </c>
    </row>
    <row r="17" customFormat="false" ht="57.45" hidden="false" customHeight="false" outlineLevel="0" collapsed="false">
      <c r="A17" s="15" t="s">
        <v>95</v>
      </c>
      <c r="B17" s="16" t="s">
        <v>74</v>
      </c>
      <c r="C17" s="17" t="n">
        <v>6</v>
      </c>
      <c r="D17" s="16" t="s">
        <v>96</v>
      </c>
      <c r="E17" s="17" t="s">
        <v>97</v>
      </c>
      <c r="F17" s="17" t="s">
        <v>36</v>
      </c>
      <c r="G17" s="18" t="n">
        <v>0.13</v>
      </c>
      <c r="H17" s="16" t="s">
        <v>98</v>
      </c>
      <c r="I17" s="17" t="s">
        <v>38</v>
      </c>
      <c r="J17" s="17"/>
      <c r="K17" s="11" t="str">
        <f aca="false">IF(J17="","",IF(J17=0,"Band 0",IF(J17&lt;=2,"Band 1-2","Band 3-5")))</f>
        <v/>
      </c>
      <c r="L17" s="12" t="str">
        <f aca="false">IF(K17="","Enter a score in column J to see the recommendation.",IFERROR(INDEX('Recommendation Library'!$C:$C,MATCH($A17&amp;"|"&amp;K17,'Recommendation Library'!$D:$D,0)),"Recommendation not found - check the Recommendation Library tab."))</f>
        <v>Enter a score in column J to see the recommendation.</v>
      </c>
    </row>
    <row r="18" customFormat="false" ht="15" hidden="false" customHeight="true" outlineLevel="0" collapsed="false">
      <c r="A18" s="13" t="s">
        <v>99</v>
      </c>
      <c r="B18" s="13"/>
      <c r="C18" s="13"/>
      <c r="D18" s="13"/>
      <c r="E18" s="13"/>
      <c r="F18" s="13"/>
      <c r="G18" s="14" t="n">
        <f aca="false">SUM(G12:G17)</f>
        <v>1</v>
      </c>
      <c r="H18" s="13"/>
      <c r="I18" s="13"/>
      <c r="J18" s="13"/>
      <c r="K18" s="13"/>
      <c r="L18" s="13"/>
    </row>
    <row r="19" customFormat="false" ht="46.25" hidden="false" customHeight="false" outlineLevel="0" collapsed="false">
      <c r="A19" s="7" t="s">
        <v>100</v>
      </c>
      <c r="B19" s="8" t="s">
        <v>101</v>
      </c>
      <c r="C19" s="9" t="n">
        <v>1</v>
      </c>
      <c r="D19" s="8" t="s">
        <v>102</v>
      </c>
      <c r="E19" s="9" t="s">
        <v>103</v>
      </c>
      <c r="F19" s="9" t="s">
        <v>36</v>
      </c>
      <c r="G19" s="10" t="n">
        <v>0.28</v>
      </c>
      <c r="H19" s="8" t="s">
        <v>104</v>
      </c>
      <c r="I19" s="9" t="s">
        <v>38</v>
      </c>
      <c r="J19" s="9"/>
      <c r="K19" s="11" t="str">
        <f aca="false">IF(J19="","",IF(J19=0,"Band 0",IF(J19&lt;=2,"Band 1-2","Band 3-5")))</f>
        <v/>
      </c>
      <c r="L19" s="12" t="str">
        <f aca="false">IF(K19="","Enter a score in column J to see the recommendation.",IFERROR(INDEX('Recommendation Library'!$C:$C,MATCH($A19&amp;"|"&amp;K19,'Recommendation Library'!$D:$D,0)),"Recommendation not found - check the Recommendation Library tab."))</f>
        <v>Enter a score in column J to see the recommendation.</v>
      </c>
    </row>
    <row r="20" customFormat="false" ht="35.05" hidden="false" customHeight="false" outlineLevel="0" collapsed="false">
      <c r="A20" s="7" t="s">
        <v>105</v>
      </c>
      <c r="B20" s="8" t="s">
        <v>101</v>
      </c>
      <c r="C20" s="9" t="n">
        <v>2</v>
      </c>
      <c r="D20" s="8" t="s">
        <v>106</v>
      </c>
      <c r="E20" s="9" t="s">
        <v>107</v>
      </c>
      <c r="F20" s="9" t="s">
        <v>36</v>
      </c>
      <c r="G20" s="10" t="n">
        <v>0.24</v>
      </c>
      <c r="H20" s="8" t="s">
        <v>108</v>
      </c>
      <c r="I20" s="9" t="s">
        <v>38</v>
      </c>
      <c r="J20" s="9"/>
      <c r="K20" s="11" t="str">
        <f aca="false">IF(J20="","",IF(J20=0,"Band 0",IF(J20&lt;=2,"Band 1-2","Band 3-5")))</f>
        <v/>
      </c>
      <c r="L20" s="12" t="str">
        <f aca="false">IF(K20="","Enter a score in column J to see the recommendation.",IFERROR(INDEX('Recommendation Library'!$C:$C,MATCH($A20&amp;"|"&amp;K20,'Recommendation Library'!$D:$D,0)),"Recommendation not found - check the Recommendation Library tab."))</f>
        <v>Enter a score in column J to see the recommendation.</v>
      </c>
    </row>
    <row r="21" customFormat="false" ht="46.25" hidden="false" customHeight="false" outlineLevel="0" collapsed="false">
      <c r="A21" s="7" t="s">
        <v>109</v>
      </c>
      <c r="B21" s="8" t="s">
        <v>101</v>
      </c>
      <c r="C21" s="9" t="n">
        <v>3</v>
      </c>
      <c r="D21" s="8" t="s">
        <v>110</v>
      </c>
      <c r="E21" s="9" t="s">
        <v>111</v>
      </c>
      <c r="F21" s="9" t="s">
        <v>36</v>
      </c>
      <c r="G21" s="10" t="n">
        <v>0.2</v>
      </c>
      <c r="H21" s="8" t="s">
        <v>112</v>
      </c>
      <c r="I21" s="9" t="s">
        <v>38</v>
      </c>
      <c r="J21" s="9"/>
      <c r="K21" s="11" t="str">
        <f aca="false">IF(J21="","",IF(J21=0,"Band 0",IF(J21&lt;=2,"Band 1-2","Band 3-5")))</f>
        <v/>
      </c>
      <c r="L21" s="12" t="str">
        <f aca="false">IF(K21="","Enter a score in column J to see the recommendation.",IFERROR(INDEX('Recommendation Library'!$C:$C,MATCH($A21&amp;"|"&amp;K21,'Recommendation Library'!$D:$D,0)),"Recommendation not found - check the Recommendation Library tab."))</f>
        <v>Enter a score in column J to see the recommendation.</v>
      </c>
    </row>
    <row r="22" customFormat="false" ht="57.45" hidden="false" customHeight="false" outlineLevel="0" collapsed="false">
      <c r="A22" s="7" t="s">
        <v>113</v>
      </c>
      <c r="B22" s="8" t="s">
        <v>101</v>
      </c>
      <c r="C22" s="9" t="n">
        <v>4</v>
      </c>
      <c r="D22" s="8" t="s">
        <v>114</v>
      </c>
      <c r="E22" s="9" t="s">
        <v>115</v>
      </c>
      <c r="F22" s="9" t="s">
        <v>116</v>
      </c>
      <c r="G22" s="10" t="n">
        <v>0.16</v>
      </c>
      <c r="H22" s="8" t="s">
        <v>117</v>
      </c>
      <c r="I22" s="9" t="s">
        <v>38</v>
      </c>
      <c r="J22" s="9"/>
      <c r="K22" s="11" t="str">
        <f aca="false">IF(J22="","",IF(J22=0,"Band 0",IF(J22&lt;=2,"Band 1-2","Band 3-5")))</f>
        <v/>
      </c>
      <c r="L22" s="12" t="str">
        <f aca="false">IF(K22="","Enter a score in column J to see the recommendation.",IFERROR(INDEX('Recommendation Library'!$C:$C,MATCH($A22&amp;"|"&amp;K22,'Recommendation Library'!$D:$D,0)),"Recommendation not found - check the Recommendation Library tab."))</f>
        <v>Enter a score in column J to see the recommendation.</v>
      </c>
    </row>
    <row r="23" customFormat="false" ht="46.25" hidden="false" customHeight="false" outlineLevel="0" collapsed="false">
      <c r="A23" s="7" t="s">
        <v>118</v>
      </c>
      <c r="B23" s="8" t="s">
        <v>101</v>
      </c>
      <c r="C23" s="9" t="n">
        <v>5</v>
      </c>
      <c r="D23" s="8" t="s">
        <v>119</v>
      </c>
      <c r="E23" s="9" t="s">
        <v>120</v>
      </c>
      <c r="F23" s="9" t="s">
        <v>116</v>
      </c>
      <c r="G23" s="10" t="n">
        <v>0.12</v>
      </c>
      <c r="H23" s="8" t="s">
        <v>121</v>
      </c>
      <c r="I23" s="9" t="s">
        <v>38</v>
      </c>
      <c r="J23" s="9"/>
      <c r="K23" s="11" t="str">
        <f aca="false">IF(J23="","",IF(J23=0,"Band 0",IF(J23&lt;=2,"Band 1-2","Band 3-5")))</f>
        <v/>
      </c>
      <c r="L23" s="12" t="str">
        <f aca="false">IF(K23="","Enter a score in column J to see the recommendation.",IFERROR(INDEX('Recommendation Library'!$C:$C,MATCH($A23&amp;"|"&amp;K23,'Recommendation Library'!$D:$D,0)),"Recommendation not found - check the Recommendation Library tab."))</f>
        <v>Enter a score in column J to see the recommendation.</v>
      </c>
    </row>
    <row r="24" customFormat="false" ht="15" hidden="false" customHeight="true" outlineLevel="0" collapsed="false">
      <c r="A24" s="13" t="s">
        <v>122</v>
      </c>
      <c r="B24" s="13"/>
      <c r="C24" s="13"/>
      <c r="D24" s="13"/>
      <c r="E24" s="13"/>
      <c r="F24" s="13"/>
      <c r="G24" s="14" t="n">
        <f aca="false">SUM(G19:G23)</f>
        <v>1</v>
      </c>
      <c r="H24" s="13"/>
      <c r="I24" s="13"/>
      <c r="J24" s="13"/>
      <c r="K24" s="13"/>
      <c r="L24" s="13"/>
    </row>
    <row r="25" customFormat="false" ht="46.25" hidden="false" customHeight="false" outlineLevel="0" collapsed="false">
      <c r="A25" s="15" t="s">
        <v>123</v>
      </c>
      <c r="B25" s="16" t="s">
        <v>124</v>
      </c>
      <c r="C25" s="17" t="n">
        <v>1</v>
      </c>
      <c r="D25" s="16" t="s">
        <v>125</v>
      </c>
      <c r="E25" s="17" t="s">
        <v>126</v>
      </c>
      <c r="F25" s="17" t="s">
        <v>36</v>
      </c>
      <c r="G25" s="18" t="n">
        <v>0.4</v>
      </c>
      <c r="H25" s="16" t="s">
        <v>127</v>
      </c>
      <c r="I25" s="17" t="s">
        <v>38</v>
      </c>
      <c r="J25" s="17"/>
      <c r="K25" s="11" t="str">
        <f aca="false">IF(J25="","",IF(J25=0,"Band 0",IF(J25&lt;=2,"Band 1-2","Band 3-5")))</f>
        <v/>
      </c>
      <c r="L25" s="12" t="str">
        <f aca="false">IF(K25="","Enter a score in column J to see the recommendation.",IFERROR(INDEX('Recommendation Library'!$C:$C,MATCH($A25&amp;"|"&amp;K25,'Recommendation Library'!$D:$D,0)),"Recommendation not found - check the Recommendation Library tab."))</f>
        <v>Enter a score in column J to see the recommendation.</v>
      </c>
    </row>
    <row r="26" customFormat="false" ht="35.05" hidden="false" customHeight="false" outlineLevel="0" collapsed="false">
      <c r="A26" s="15" t="s">
        <v>128</v>
      </c>
      <c r="B26" s="16" t="s">
        <v>124</v>
      </c>
      <c r="C26" s="17" t="n">
        <v>2</v>
      </c>
      <c r="D26" s="16" t="s">
        <v>129</v>
      </c>
      <c r="E26" s="17" t="s">
        <v>130</v>
      </c>
      <c r="F26" s="17" t="s">
        <v>36</v>
      </c>
      <c r="G26" s="18" t="n">
        <v>0.35</v>
      </c>
      <c r="H26" s="16" t="s">
        <v>131</v>
      </c>
      <c r="I26" s="17" t="s">
        <v>38</v>
      </c>
      <c r="J26" s="17"/>
      <c r="K26" s="11" t="str">
        <f aca="false">IF(J26="","",IF(J26=0,"Band 0",IF(J26&lt;=2,"Band 1-2","Band 3-5")))</f>
        <v/>
      </c>
      <c r="L26" s="12" t="str">
        <f aca="false">IF(K26="","Enter a score in column J to see the recommendation.",IFERROR(INDEX('Recommendation Library'!$C:$C,MATCH($A26&amp;"|"&amp;K26,'Recommendation Library'!$D:$D,0)),"Recommendation not found - check the Recommendation Library tab."))</f>
        <v>Enter a score in column J to see the recommendation.</v>
      </c>
    </row>
    <row r="27" customFormat="false" ht="46.25" hidden="false" customHeight="false" outlineLevel="0" collapsed="false">
      <c r="A27" s="15" t="s">
        <v>132</v>
      </c>
      <c r="B27" s="16" t="s">
        <v>124</v>
      </c>
      <c r="C27" s="17" t="n">
        <v>3</v>
      </c>
      <c r="D27" s="16" t="s">
        <v>133</v>
      </c>
      <c r="E27" s="17" t="s">
        <v>134</v>
      </c>
      <c r="F27" s="17" t="s">
        <v>36</v>
      </c>
      <c r="G27" s="18" t="n">
        <v>0.25</v>
      </c>
      <c r="H27" s="16" t="s">
        <v>135</v>
      </c>
      <c r="I27" s="17" t="s">
        <v>38</v>
      </c>
      <c r="J27" s="17"/>
      <c r="K27" s="11" t="str">
        <f aca="false">IF(J27="","",IF(J27=0,"Band 0",IF(J27&lt;=2,"Band 1-2","Band 3-5")))</f>
        <v/>
      </c>
      <c r="L27" s="12" t="str">
        <f aca="false">IF(K27="","Enter a score in column J to see the recommendation.",IFERROR(INDEX('Recommendation Library'!$C:$C,MATCH($A27&amp;"|"&amp;K27,'Recommendation Library'!$D:$D,0)),"Recommendation not found - check the Recommendation Library tab."))</f>
        <v>Enter a score in column J to see the recommendation.</v>
      </c>
    </row>
    <row r="28" customFormat="false" ht="15" hidden="false" customHeight="true" outlineLevel="0" collapsed="false">
      <c r="A28" s="13" t="s">
        <v>136</v>
      </c>
      <c r="B28" s="13"/>
      <c r="C28" s="13"/>
      <c r="D28" s="13"/>
      <c r="E28" s="13"/>
      <c r="F28" s="13"/>
      <c r="G28" s="14" t="n">
        <f aca="false">SUM(G25:G27)</f>
        <v>1</v>
      </c>
      <c r="H28" s="13"/>
      <c r="I28" s="13"/>
      <c r="J28" s="13"/>
      <c r="K28" s="13"/>
      <c r="L28" s="13"/>
    </row>
    <row r="29" customFormat="false" ht="57.45" hidden="false" customHeight="false" outlineLevel="0" collapsed="false">
      <c r="A29" s="7" t="s">
        <v>137</v>
      </c>
      <c r="B29" s="8" t="s">
        <v>138</v>
      </c>
      <c r="C29" s="9" t="n">
        <v>1</v>
      </c>
      <c r="D29" s="8" t="s">
        <v>139</v>
      </c>
      <c r="E29" s="9" t="s">
        <v>140</v>
      </c>
      <c r="F29" s="9" t="s">
        <v>141</v>
      </c>
      <c r="G29" s="10" t="n">
        <v>0.55</v>
      </c>
      <c r="H29" s="8" t="s">
        <v>142</v>
      </c>
      <c r="I29" s="9" t="s">
        <v>143</v>
      </c>
      <c r="J29" s="9"/>
      <c r="K29" s="11" t="str">
        <f aca="false">IF(J29="","",J29)</f>
        <v/>
      </c>
      <c r="L29" s="12" t="str">
        <f aca="false">IF(K29="","Enter a score in column J to see the recommendation.",IFERROR(INDEX('Recommendation Library'!$C:$C,MATCH($A29&amp;"|"&amp;K29,'Recommendation Library'!$D:$D,0)),"Recommendation not found - check the Recommendation Library tab."))</f>
        <v>Enter a score in column J to see the recommendation.</v>
      </c>
    </row>
    <row r="30" customFormat="false" ht="46.25" hidden="false" customHeight="false" outlineLevel="0" collapsed="false">
      <c r="A30" s="7" t="s">
        <v>144</v>
      </c>
      <c r="B30" s="8" t="s">
        <v>138</v>
      </c>
      <c r="C30" s="9" t="n">
        <v>2</v>
      </c>
      <c r="D30" s="8" t="s">
        <v>145</v>
      </c>
      <c r="E30" s="9" t="s">
        <v>146</v>
      </c>
      <c r="F30" s="9" t="s">
        <v>147</v>
      </c>
      <c r="G30" s="10" t="n">
        <v>0.45</v>
      </c>
      <c r="H30" s="8" t="s">
        <v>148</v>
      </c>
      <c r="I30" s="9" t="s">
        <v>38</v>
      </c>
      <c r="J30" s="9"/>
      <c r="K30" s="11" t="str">
        <f aca="false">IF(J30="","",IF(J30=0,"Band 0",IF(J30&lt;=2,"Band 1-2","Band 3-5")))</f>
        <v/>
      </c>
      <c r="L30" s="12" t="str">
        <f aca="false">IF(J29="No","Not applicable - the organization reported no open source contributions (gate question answered No). No action needed unless contribution activity begins; revisit at the next conformance review.",IF(K30="","Enter a score in column J to see the recommendation.",IFERROR(INDEX('Recommendation Library'!$C:$C,MATCH($A30&amp;"|"&amp;K30,'Recommendation Library'!$D:$D,0)),"Recommendation not found - check the Recommendation Library tab.")))</f>
        <v>Enter a score in column J to see the recommendation.</v>
      </c>
    </row>
    <row r="31" customFormat="false" ht="15" hidden="false" customHeight="true" outlineLevel="0" collapsed="false">
      <c r="A31" s="13" t="s">
        <v>149</v>
      </c>
      <c r="B31" s="13"/>
      <c r="C31" s="13"/>
      <c r="D31" s="13"/>
      <c r="E31" s="13"/>
      <c r="F31" s="13"/>
      <c r="G31" s="14" t="n">
        <f aca="false">SUM(G29:G30)</f>
        <v>1</v>
      </c>
      <c r="H31" s="13"/>
      <c r="I31" s="13"/>
      <c r="J31" s="13"/>
      <c r="K31" s="13"/>
      <c r="L31" s="13"/>
    </row>
    <row r="32" customFormat="false" ht="57.45" hidden="false" customHeight="false" outlineLevel="0" collapsed="false">
      <c r="A32" s="15" t="s">
        <v>150</v>
      </c>
      <c r="B32" s="16" t="s">
        <v>151</v>
      </c>
      <c r="C32" s="17" t="n">
        <v>1</v>
      </c>
      <c r="D32" s="16" t="s">
        <v>152</v>
      </c>
      <c r="E32" s="17" t="s">
        <v>153</v>
      </c>
      <c r="F32" s="17" t="s">
        <v>36</v>
      </c>
      <c r="G32" s="18" t="n">
        <v>0.55</v>
      </c>
      <c r="H32" s="16" t="s">
        <v>154</v>
      </c>
      <c r="I32" s="17" t="s">
        <v>38</v>
      </c>
      <c r="J32" s="17"/>
      <c r="K32" s="11" t="str">
        <f aca="false">IF(J32="","",IF(J32=0,"Band 0",IF(J32&lt;=2,"Band 1-2","Band 3-5")))</f>
        <v/>
      </c>
      <c r="L32" s="12" t="str">
        <f aca="false">IF(K32="","Enter a score in column J to see the recommendation.",IFERROR(INDEX('Recommendation Library'!$C:$C,MATCH($A32&amp;"|"&amp;K32,'Recommendation Library'!$D:$D,0)),"Recommendation not found - check the Recommendation Library tab."))</f>
        <v>Enter a score in column J to see the recommendation.</v>
      </c>
    </row>
    <row r="33" customFormat="false" ht="35.05" hidden="false" customHeight="false" outlineLevel="0" collapsed="false">
      <c r="A33" s="15" t="s">
        <v>155</v>
      </c>
      <c r="B33" s="16" t="s">
        <v>151</v>
      </c>
      <c r="C33" s="17" t="n">
        <v>2</v>
      </c>
      <c r="D33" s="16" t="s">
        <v>156</v>
      </c>
      <c r="E33" s="17" t="s">
        <v>157</v>
      </c>
      <c r="F33" s="17" t="s">
        <v>36</v>
      </c>
      <c r="G33" s="18" t="n">
        <v>0.45</v>
      </c>
      <c r="H33" s="16" t="s">
        <v>158</v>
      </c>
      <c r="I33" s="17" t="s">
        <v>38</v>
      </c>
      <c r="J33" s="17"/>
      <c r="K33" s="11" t="str">
        <f aca="false">IF(J33="","",IF(J33=0,"Band 0",IF(J33&lt;=2,"Band 1-2","Band 3-5")))</f>
        <v/>
      </c>
      <c r="L33" s="12" t="str">
        <f aca="false">IF(K33="","Enter a score in column J to see the recommendation.",IFERROR(INDEX('Recommendation Library'!$C:$C,MATCH($A33&amp;"|"&amp;K33,'Recommendation Library'!$D:$D,0)),"Recommendation not found - check the Recommendation Library tab."))</f>
        <v>Enter a score in column J to see the recommendation.</v>
      </c>
    </row>
    <row r="34" customFormat="false" ht="15" hidden="false" customHeight="true" outlineLevel="0" collapsed="false">
      <c r="A34" s="13" t="s">
        <v>159</v>
      </c>
      <c r="B34" s="13"/>
      <c r="C34" s="13"/>
      <c r="D34" s="13"/>
      <c r="E34" s="13"/>
      <c r="F34" s="13"/>
      <c r="G34" s="14" t="n">
        <f aca="false">SUM(G32:G33)</f>
        <v>1</v>
      </c>
      <c r="H34" s="13"/>
      <c r="I34" s="13"/>
      <c r="J34" s="13"/>
      <c r="K34" s="13"/>
      <c r="L34" s="13"/>
    </row>
  </sheetData>
  <mergeCells count="6">
    <mergeCell ref="A11:F11"/>
    <mergeCell ref="A18:F18"/>
    <mergeCell ref="A24:F24"/>
    <mergeCell ref="A28:F28"/>
    <mergeCell ref="A31:F31"/>
    <mergeCell ref="A34:F34"/>
  </mergeCells>
  <dataValidations count="2">
    <dataValidation allowBlank="true" error="Please choose a value from 0 to 5." errorStyle="stop" operator="between" prompt="Choose the client's maturity score (0-5)." showDropDown="false" showErrorMessage="false" showInputMessage="false" sqref="J2:J10 J12:J15 J17 J19:J23 J25:J27 J30 J32:J33" type="list">
      <formula1>"0,1,2,3,4,5"</formula1>
      <formula2>0</formula2>
    </dataValidation>
    <dataValidation allowBlank="true" error="Please choose Yes or No." errorStyle="stop" operator="between" prompt="Choose Yes or No." showDropDown="false" showErrorMessage="false" showInputMessage="false" sqref="J16 J2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8"/>
    <col collapsed="false" customWidth="true" hidden="false" outlineLevel="0" max="4" min="4" style="0" width="100"/>
  </cols>
  <sheetData>
    <row r="1" customFormat="false" ht="30" hidden="false" customHeight="true" outlineLevel="0" collapsed="false">
      <c r="A1" s="19" t="s">
        <v>160</v>
      </c>
      <c r="B1" s="19" t="s">
        <v>161</v>
      </c>
      <c r="C1" s="19" t="s">
        <v>24</v>
      </c>
      <c r="D1" s="19" t="s">
        <v>162</v>
      </c>
    </row>
    <row r="2" customFormat="false" ht="99.75" hidden="false" customHeight="true" outlineLevel="0" collapsed="false">
      <c r="A2" s="20" t="n">
        <v>1</v>
      </c>
      <c r="B2" s="21" t="s">
        <v>33</v>
      </c>
      <c r="C2" s="22" t="s">
        <v>163</v>
      </c>
      <c r="D2" s="23" t="s">
        <v>164</v>
      </c>
    </row>
    <row r="3" customFormat="false" ht="99.75" hidden="false" customHeight="true" outlineLevel="0" collapsed="false">
      <c r="A3" s="15" t="n">
        <v>2</v>
      </c>
      <c r="B3" s="24" t="s">
        <v>74</v>
      </c>
      <c r="C3" s="17" t="s">
        <v>165</v>
      </c>
      <c r="D3" s="16" t="s">
        <v>166</v>
      </c>
    </row>
    <row r="4" customFormat="false" ht="99.75" hidden="false" customHeight="true" outlineLevel="0" collapsed="false">
      <c r="A4" s="20" t="n">
        <v>3</v>
      </c>
      <c r="B4" s="21" t="s">
        <v>101</v>
      </c>
      <c r="C4" s="22" t="s">
        <v>167</v>
      </c>
      <c r="D4" s="23" t="s">
        <v>168</v>
      </c>
    </row>
    <row r="5" customFormat="false" ht="99.75" hidden="false" customHeight="true" outlineLevel="0" collapsed="false">
      <c r="A5" s="15" t="n">
        <v>4</v>
      </c>
      <c r="B5" s="24" t="s">
        <v>124</v>
      </c>
      <c r="C5" s="17" t="s">
        <v>169</v>
      </c>
      <c r="D5" s="16" t="s">
        <v>170</v>
      </c>
    </row>
    <row r="6" customFormat="false" ht="99.75" hidden="false" customHeight="true" outlineLevel="0" collapsed="false">
      <c r="A6" s="20" t="n">
        <v>5</v>
      </c>
      <c r="B6" s="21" t="s">
        <v>138</v>
      </c>
      <c r="C6" s="22" t="s">
        <v>171</v>
      </c>
      <c r="D6" s="23" t="s">
        <v>172</v>
      </c>
    </row>
    <row r="7" customFormat="false" ht="99.75" hidden="false" customHeight="true" outlineLevel="0" collapsed="false">
      <c r="A7" s="15" t="n">
        <v>6</v>
      </c>
      <c r="B7" s="24" t="s">
        <v>151</v>
      </c>
      <c r="C7" s="17" t="s">
        <v>173</v>
      </c>
      <c r="D7" s="16"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0"/>
    <col collapsed="false" customWidth="true" hidden="false" outlineLevel="0" max="4" min="4" style="0" width="14"/>
    <col collapsed="false" customWidth="true" hidden="false" outlineLevel="0" max="5" min="5" style="0" width="20"/>
    <col collapsed="false" customWidth="true" hidden="false" outlineLevel="0" max="6" min="6" style="0" width="60"/>
  </cols>
  <sheetData>
    <row r="1" customFormat="false" ht="31.5" hidden="false" customHeight="true" outlineLevel="0" collapsed="false">
      <c r="A1" s="6" t="s">
        <v>160</v>
      </c>
      <c r="B1" s="6" t="s">
        <v>21</v>
      </c>
      <c r="C1" s="6" t="s">
        <v>24</v>
      </c>
      <c r="D1" s="6" t="s">
        <v>175</v>
      </c>
      <c r="E1" s="6" t="s">
        <v>176</v>
      </c>
      <c r="F1" s="6" t="s">
        <v>177</v>
      </c>
    </row>
    <row r="2" customFormat="false" ht="46.25" hidden="false" customHeight="false" outlineLevel="0" collapsed="false">
      <c r="A2" s="9" t="n">
        <v>1</v>
      </c>
      <c r="B2" s="8" t="s">
        <v>33</v>
      </c>
      <c r="C2" s="9" t="s">
        <v>163</v>
      </c>
      <c r="D2" s="9" t="n">
        <v>9</v>
      </c>
      <c r="E2" s="10" t="n">
        <f aca="false">'Question Mapping'!G11</f>
        <v>1</v>
      </c>
      <c r="F2" s="8" t="s">
        <v>178</v>
      </c>
    </row>
    <row r="3" customFormat="false" ht="35.05" hidden="false" customHeight="false" outlineLevel="0" collapsed="false">
      <c r="A3" s="17" t="n">
        <v>2</v>
      </c>
      <c r="B3" s="16" t="s">
        <v>74</v>
      </c>
      <c r="C3" s="17" t="s">
        <v>165</v>
      </c>
      <c r="D3" s="17" t="n">
        <v>6</v>
      </c>
      <c r="E3" s="18" t="n">
        <f aca="false">'Question Mapping'!G18</f>
        <v>1</v>
      </c>
      <c r="F3" s="16" t="s">
        <v>179</v>
      </c>
    </row>
    <row r="4" customFormat="false" ht="35.05" hidden="false" customHeight="false" outlineLevel="0" collapsed="false">
      <c r="A4" s="9" t="n">
        <v>3</v>
      </c>
      <c r="B4" s="8" t="s">
        <v>101</v>
      </c>
      <c r="C4" s="9" t="s">
        <v>167</v>
      </c>
      <c r="D4" s="9" t="n">
        <v>5</v>
      </c>
      <c r="E4" s="10" t="n">
        <f aca="false">'Question Mapping'!G24</f>
        <v>1</v>
      </c>
      <c r="F4" s="8" t="s">
        <v>180</v>
      </c>
    </row>
    <row r="5" customFormat="false" ht="35.05" hidden="false" customHeight="false" outlineLevel="0" collapsed="false">
      <c r="A5" s="17" t="n">
        <v>4</v>
      </c>
      <c r="B5" s="16" t="s">
        <v>124</v>
      </c>
      <c r="C5" s="17" t="s">
        <v>169</v>
      </c>
      <c r="D5" s="17" t="n">
        <v>3</v>
      </c>
      <c r="E5" s="18" t="n">
        <f aca="false">'Question Mapping'!G28</f>
        <v>1</v>
      </c>
      <c r="F5" s="16" t="s">
        <v>181</v>
      </c>
    </row>
    <row r="6" customFormat="false" ht="35.05" hidden="false" customHeight="false" outlineLevel="0" collapsed="false">
      <c r="A6" s="9" t="n">
        <v>5</v>
      </c>
      <c r="B6" s="8" t="s">
        <v>138</v>
      </c>
      <c r="C6" s="9" t="s">
        <v>171</v>
      </c>
      <c r="D6" s="9" t="n">
        <v>2</v>
      </c>
      <c r="E6" s="10" t="n">
        <f aca="false">'Question Mapping'!G31</f>
        <v>1</v>
      </c>
      <c r="F6" s="8" t="s">
        <v>182</v>
      </c>
    </row>
    <row r="7" customFormat="false" ht="23.85" hidden="false" customHeight="false" outlineLevel="0" collapsed="false">
      <c r="A7" s="17" t="n">
        <v>6</v>
      </c>
      <c r="B7" s="16" t="s">
        <v>151</v>
      </c>
      <c r="C7" s="17" t="s">
        <v>173</v>
      </c>
      <c r="D7" s="17" t="n">
        <v>2</v>
      </c>
      <c r="E7" s="18" t="n">
        <f aca="false">'Question Mapping'!G34</f>
        <v>1</v>
      </c>
      <c r="F7" s="16" t="s">
        <v>183</v>
      </c>
    </row>
    <row r="8" customFormat="false" ht="15" hidden="false" customHeight="false" outlineLevel="0" collapsed="false">
      <c r="A8" s="25"/>
      <c r="B8" s="13" t="s">
        <v>184</v>
      </c>
      <c r="C8" s="25"/>
      <c r="D8" s="26" t="n">
        <f aca="false">SUM(D2:D7)</f>
        <v>27</v>
      </c>
      <c r="E8" s="14" t="n">
        <f aca="false">SUM(E2:E7)/6</f>
        <v>1</v>
      </c>
      <c r="F8" s="25"/>
    </row>
    <row r="10" customFormat="false" ht="22.35" hidden="false" customHeight="true" outlineLevel="0" collapsed="false">
      <c r="B10" s="27" t="s">
        <v>185</v>
      </c>
      <c r="C10" s="27"/>
      <c r="D10" s="27"/>
      <c r="E10" s="27"/>
      <c r="F10" s="27"/>
    </row>
  </sheetData>
  <mergeCells count="1">
    <mergeCell ref="B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95"/>
    <col collapsed="false" customWidth="true" hidden="true" outlineLevel="0" max="4" min="4" style="0" width="16"/>
  </cols>
  <sheetData>
    <row r="1" customFormat="false" ht="24" hidden="false" customHeight="true" outlineLevel="0" collapsed="false">
      <c r="A1" s="28" t="s">
        <v>20</v>
      </c>
      <c r="B1" s="28" t="s">
        <v>186</v>
      </c>
      <c r="C1" s="28" t="s">
        <v>187</v>
      </c>
      <c r="D1" s="28" t="s">
        <v>188</v>
      </c>
    </row>
    <row r="2" customFormat="false" ht="35.05" hidden="false" customHeight="false" outlineLevel="0" collapsed="false">
      <c r="A2" s="11" t="s">
        <v>32</v>
      </c>
      <c r="B2" s="11" t="s">
        <v>189</v>
      </c>
      <c r="C2" s="12" t="s">
        <v>190</v>
      </c>
      <c r="D2" s="29" t="str">
        <f aca="false">A2&amp;"|"&amp;B2</f>
        <v>Q01|Band 0</v>
      </c>
    </row>
    <row r="3" customFormat="false" ht="35.05" hidden="false" customHeight="false" outlineLevel="0" collapsed="false">
      <c r="A3" s="11" t="s">
        <v>32</v>
      </c>
      <c r="B3" s="11" t="s">
        <v>191</v>
      </c>
      <c r="C3" s="12" t="s">
        <v>192</v>
      </c>
      <c r="D3" s="29" t="str">
        <f aca="false">A3&amp;"|"&amp;B3</f>
        <v>Q01|Band 1-2</v>
      </c>
    </row>
    <row r="4" customFormat="false" ht="35.05" hidden="false" customHeight="false" outlineLevel="0" collapsed="false">
      <c r="A4" s="11" t="s">
        <v>32</v>
      </c>
      <c r="B4" s="11" t="s">
        <v>193</v>
      </c>
      <c r="C4" s="12" t="s">
        <v>194</v>
      </c>
      <c r="D4" s="29" t="str">
        <f aca="false">A4&amp;"|"&amp;B4</f>
        <v>Q01|Band 3-5</v>
      </c>
    </row>
    <row r="5" customFormat="false" ht="35.05" hidden="false" customHeight="false" outlineLevel="0" collapsed="false">
      <c r="A5" s="11" t="s">
        <v>39</v>
      </c>
      <c r="B5" s="11" t="s">
        <v>189</v>
      </c>
      <c r="C5" s="12" t="s">
        <v>195</v>
      </c>
      <c r="D5" s="29" t="str">
        <f aca="false">A5&amp;"|"&amp;B5</f>
        <v>Q02|Band 0</v>
      </c>
    </row>
    <row r="6" customFormat="false" ht="35.05" hidden="false" customHeight="false" outlineLevel="0" collapsed="false">
      <c r="A6" s="11" t="s">
        <v>39</v>
      </c>
      <c r="B6" s="11" t="s">
        <v>191</v>
      </c>
      <c r="C6" s="12" t="s">
        <v>196</v>
      </c>
      <c r="D6" s="29" t="str">
        <f aca="false">A6&amp;"|"&amp;B6</f>
        <v>Q02|Band 1-2</v>
      </c>
    </row>
    <row r="7" customFormat="false" ht="23.85" hidden="false" customHeight="false" outlineLevel="0" collapsed="false">
      <c r="A7" s="11" t="s">
        <v>39</v>
      </c>
      <c r="B7" s="11" t="s">
        <v>193</v>
      </c>
      <c r="C7" s="12" t="s">
        <v>197</v>
      </c>
      <c r="D7" s="29" t="str">
        <f aca="false">A7&amp;"|"&amp;B7</f>
        <v>Q02|Band 3-5</v>
      </c>
    </row>
    <row r="8" customFormat="false" ht="35.05" hidden="false" customHeight="false" outlineLevel="0" collapsed="false">
      <c r="A8" s="11" t="s">
        <v>43</v>
      </c>
      <c r="B8" s="11" t="s">
        <v>189</v>
      </c>
      <c r="C8" s="12" t="s">
        <v>198</v>
      </c>
      <c r="D8" s="29" t="str">
        <f aca="false">A8&amp;"|"&amp;B8</f>
        <v>Q03|Band 0</v>
      </c>
    </row>
    <row r="9" customFormat="false" ht="35.05" hidden="false" customHeight="false" outlineLevel="0" collapsed="false">
      <c r="A9" s="11" t="s">
        <v>43</v>
      </c>
      <c r="B9" s="11" t="s">
        <v>191</v>
      </c>
      <c r="C9" s="12" t="s">
        <v>199</v>
      </c>
      <c r="D9" s="29" t="str">
        <f aca="false">A9&amp;"|"&amp;B9</f>
        <v>Q03|Band 1-2</v>
      </c>
    </row>
    <row r="10" customFormat="false" ht="35.05" hidden="false" customHeight="false" outlineLevel="0" collapsed="false">
      <c r="A10" s="11" t="s">
        <v>43</v>
      </c>
      <c r="B10" s="11" t="s">
        <v>193</v>
      </c>
      <c r="C10" s="12" t="s">
        <v>200</v>
      </c>
      <c r="D10" s="29" t="str">
        <f aca="false">A10&amp;"|"&amp;B10</f>
        <v>Q03|Band 3-5</v>
      </c>
    </row>
    <row r="11" customFormat="false" ht="35.05" hidden="false" customHeight="false" outlineLevel="0" collapsed="false">
      <c r="A11" s="11" t="s">
        <v>47</v>
      </c>
      <c r="B11" s="11" t="s">
        <v>189</v>
      </c>
      <c r="C11" s="12" t="s">
        <v>201</v>
      </c>
      <c r="D11" s="29" t="str">
        <f aca="false">A11&amp;"|"&amp;B11</f>
        <v>Q04|Band 0</v>
      </c>
    </row>
    <row r="12" customFormat="false" ht="35.05" hidden="false" customHeight="false" outlineLevel="0" collapsed="false">
      <c r="A12" s="11" t="s">
        <v>47</v>
      </c>
      <c r="B12" s="11" t="s">
        <v>191</v>
      </c>
      <c r="C12" s="12" t="s">
        <v>202</v>
      </c>
      <c r="D12" s="29" t="str">
        <f aca="false">A12&amp;"|"&amp;B12</f>
        <v>Q04|Band 1-2</v>
      </c>
    </row>
    <row r="13" customFormat="false" ht="23.85" hidden="false" customHeight="false" outlineLevel="0" collapsed="false">
      <c r="A13" s="11" t="s">
        <v>47</v>
      </c>
      <c r="B13" s="11" t="s">
        <v>193</v>
      </c>
      <c r="C13" s="12" t="s">
        <v>203</v>
      </c>
      <c r="D13" s="29" t="str">
        <f aca="false">A13&amp;"|"&amp;B13</f>
        <v>Q04|Band 3-5</v>
      </c>
    </row>
    <row r="14" customFormat="false" ht="35.05" hidden="false" customHeight="false" outlineLevel="0" collapsed="false">
      <c r="A14" s="11" t="s">
        <v>51</v>
      </c>
      <c r="B14" s="11" t="s">
        <v>189</v>
      </c>
      <c r="C14" s="12" t="s">
        <v>204</v>
      </c>
      <c r="D14" s="29" t="str">
        <f aca="false">A14&amp;"|"&amp;B14</f>
        <v>Q05|Band 0</v>
      </c>
    </row>
    <row r="15" customFormat="false" ht="35.05" hidden="false" customHeight="false" outlineLevel="0" collapsed="false">
      <c r="A15" s="11" t="s">
        <v>51</v>
      </c>
      <c r="B15" s="11" t="s">
        <v>191</v>
      </c>
      <c r="C15" s="12" t="s">
        <v>205</v>
      </c>
      <c r="D15" s="29" t="str">
        <f aca="false">A15&amp;"|"&amp;B15</f>
        <v>Q05|Band 1-2</v>
      </c>
    </row>
    <row r="16" customFormat="false" ht="35.05" hidden="false" customHeight="false" outlineLevel="0" collapsed="false">
      <c r="A16" s="11" t="s">
        <v>51</v>
      </c>
      <c r="B16" s="11" t="s">
        <v>193</v>
      </c>
      <c r="C16" s="12" t="s">
        <v>206</v>
      </c>
      <c r="D16" s="29" t="str">
        <f aca="false">A16&amp;"|"&amp;B16</f>
        <v>Q05|Band 3-5</v>
      </c>
    </row>
    <row r="17" customFormat="false" ht="35.05" hidden="false" customHeight="false" outlineLevel="0" collapsed="false">
      <c r="A17" s="11" t="s">
        <v>55</v>
      </c>
      <c r="B17" s="11" t="s">
        <v>189</v>
      </c>
      <c r="C17" s="12" t="s">
        <v>207</v>
      </c>
      <c r="D17" s="29" t="str">
        <f aca="false">A17&amp;"|"&amp;B17</f>
        <v>Q06|Band 0</v>
      </c>
    </row>
    <row r="18" customFormat="false" ht="35.05" hidden="false" customHeight="false" outlineLevel="0" collapsed="false">
      <c r="A18" s="11" t="s">
        <v>55</v>
      </c>
      <c r="B18" s="11" t="s">
        <v>191</v>
      </c>
      <c r="C18" s="12" t="s">
        <v>208</v>
      </c>
      <c r="D18" s="29" t="str">
        <f aca="false">A18&amp;"|"&amp;B18</f>
        <v>Q06|Band 1-2</v>
      </c>
    </row>
    <row r="19" customFormat="false" ht="23.85" hidden="false" customHeight="false" outlineLevel="0" collapsed="false">
      <c r="A19" s="11" t="s">
        <v>55</v>
      </c>
      <c r="B19" s="11" t="s">
        <v>193</v>
      </c>
      <c r="C19" s="12" t="s">
        <v>209</v>
      </c>
      <c r="D19" s="29" t="str">
        <f aca="false">A19&amp;"|"&amp;B19</f>
        <v>Q06|Band 3-5</v>
      </c>
    </row>
    <row r="20" customFormat="false" ht="35.05" hidden="false" customHeight="false" outlineLevel="0" collapsed="false">
      <c r="A20" s="11" t="s">
        <v>59</v>
      </c>
      <c r="B20" s="11" t="s">
        <v>189</v>
      </c>
      <c r="C20" s="12" t="s">
        <v>210</v>
      </c>
      <c r="D20" s="29" t="str">
        <f aca="false">A20&amp;"|"&amp;B20</f>
        <v>Q07|Band 0</v>
      </c>
    </row>
    <row r="21" customFormat="false" ht="35.05" hidden="false" customHeight="false" outlineLevel="0" collapsed="false">
      <c r="A21" s="11" t="s">
        <v>59</v>
      </c>
      <c r="B21" s="11" t="s">
        <v>191</v>
      </c>
      <c r="C21" s="12" t="s">
        <v>211</v>
      </c>
      <c r="D21" s="29" t="str">
        <f aca="false">A21&amp;"|"&amp;B21</f>
        <v>Q07|Band 1-2</v>
      </c>
    </row>
    <row r="22" customFormat="false" ht="35.05" hidden="false" customHeight="false" outlineLevel="0" collapsed="false">
      <c r="A22" s="11" t="s">
        <v>59</v>
      </c>
      <c r="B22" s="11" t="s">
        <v>193</v>
      </c>
      <c r="C22" s="12" t="s">
        <v>212</v>
      </c>
      <c r="D22" s="29" t="str">
        <f aca="false">A22&amp;"|"&amp;B22</f>
        <v>Q07|Band 3-5</v>
      </c>
    </row>
    <row r="23" customFormat="false" ht="35.05" hidden="false" customHeight="false" outlineLevel="0" collapsed="false">
      <c r="A23" s="11" t="s">
        <v>63</v>
      </c>
      <c r="B23" s="11" t="s">
        <v>189</v>
      </c>
      <c r="C23" s="12" t="s">
        <v>213</v>
      </c>
      <c r="D23" s="29" t="str">
        <f aca="false">A23&amp;"|"&amp;B23</f>
        <v>Q08|Band 0</v>
      </c>
    </row>
    <row r="24" customFormat="false" ht="23.85" hidden="false" customHeight="false" outlineLevel="0" collapsed="false">
      <c r="A24" s="11" t="s">
        <v>63</v>
      </c>
      <c r="B24" s="11" t="s">
        <v>191</v>
      </c>
      <c r="C24" s="12" t="s">
        <v>214</v>
      </c>
      <c r="D24" s="29" t="str">
        <f aca="false">A24&amp;"|"&amp;B24</f>
        <v>Q08|Band 1-2</v>
      </c>
    </row>
    <row r="25" customFormat="false" ht="23.85" hidden="false" customHeight="false" outlineLevel="0" collapsed="false">
      <c r="A25" s="11" t="s">
        <v>63</v>
      </c>
      <c r="B25" s="11" t="s">
        <v>193</v>
      </c>
      <c r="C25" s="12" t="s">
        <v>215</v>
      </c>
      <c r="D25" s="29" t="str">
        <f aca="false">A25&amp;"|"&amp;B25</f>
        <v>Q08|Band 3-5</v>
      </c>
    </row>
    <row r="26" customFormat="false" ht="35.05" hidden="false" customHeight="false" outlineLevel="0" collapsed="false">
      <c r="A26" s="11" t="s">
        <v>67</v>
      </c>
      <c r="B26" s="11" t="s">
        <v>189</v>
      </c>
      <c r="C26" s="12" t="s">
        <v>216</v>
      </c>
      <c r="D26" s="29" t="str">
        <f aca="false">A26&amp;"|"&amp;B26</f>
        <v>Q09|Band 0</v>
      </c>
    </row>
    <row r="27" customFormat="false" ht="35.05" hidden="false" customHeight="false" outlineLevel="0" collapsed="false">
      <c r="A27" s="11" t="s">
        <v>67</v>
      </c>
      <c r="B27" s="11" t="s">
        <v>191</v>
      </c>
      <c r="C27" s="12" t="s">
        <v>217</v>
      </c>
      <c r="D27" s="29" t="str">
        <f aca="false">A27&amp;"|"&amp;B27</f>
        <v>Q09|Band 1-2</v>
      </c>
    </row>
    <row r="28" customFormat="false" ht="23.85" hidden="false" customHeight="false" outlineLevel="0" collapsed="false">
      <c r="A28" s="11" t="s">
        <v>67</v>
      </c>
      <c r="B28" s="11" t="s">
        <v>193</v>
      </c>
      <c r="C28" s="12" t="s">
        <v>218</v>
      </c>
      <c r="D28" s="29" t="str">
        <f aca="false">A28&amp;"|"&amp;B28</f>
        <v>Q09|Band 3-5</v>
      </c>
    </row>
    <row r="29" customFormat="false" ht="46.25" hidden="false" customHeight="false" outlineLevel="0" collapsed="false">
      <c r="A29" s="11" t="s">
        <v>73</v>
      </c>
      <c r="B29" s="11" t="s">
        <v>189</v>
      </c>
      <c r="C29" s="12" t="s">
        <v>219</v>
      </c>
      <c r="D29" s="29" t="str">
        <f aca="false">A29&amp;"|"&amp;B29</f>
        <v>Q10|Band 0</v>
      </c>
    </row>
    <row r="30" customFormat="false" ht="23.85" hidden="false" customHeight="false" outlineLevel="0" collapsed="false">
      <c r="A30" s="11" t="s">
        <v>73</v>
      </c>
      <c r="B30" s="11" t="s">
        <v>191</v>
      </c>
      <c r="C30" s="12" t="s">
        <v>220</v>
      </c>
      <c r="D30" s="29" t="str">
        <f aca="false">A30&amp;"|"&amp;B30</f>
        <v>Q10|Band 1-2</v>
      </c>
    </row>
    <row r="31" customFormat="false" ht="23.85" hidden="false" customHeight="false" outlineLevel="0" collapsed="false">
      <c r="A31" s="11" t="s">
        <v>73</v>
      </c>
      <c r="B31" s="11" t="s">
        <v>193</v>
      </c>
      <c r="C31" s="12" t="s">
        <v>221</v>
      </c>
      <c r="D31" s="29" t="str">
        <f aca="false">A31&amp;"|"&amp;B31</f>
        <v>Q10|Band 3-5</v>
      </c>
    </row>
    <row r="32" customFormat="false" ht="35.05" hidden="false" customHeight="false" outlineLevel="0" collapsed="false">
      <c r="A32" s="11" t="s">
        <v>78</v>
      </c>
      <c r="B32" s="11" t="s">
        <v>189</v>
      </c>
      <c r="C32" s="12" t="s">
        <v>222</v>
      </c>
      <c r="D32" s="29" t="str">
        <f aca="false">A32&amp;"|"&amp;B32</f>
        <v>Q11|Band 0</v>
      </c>
    </row>
    <row r="33" customFormat="false" ht="35.05" hidden="false" customHeight="false" outlineLevel="0" collapsed="false">
      <c r="A33" s="11" t="s">
        <v>78</v>
      </c>
      <c r="B33" s="11" t="s">
        <v>191</v>
      </c>
      <c r="C33" s="12" t="s">
        <v>223</v>
      </c>
      <c r="D33" s="29" t="str">
        <f aca="false">A33&amp;"|"&amp;B33</f>
        <v>Q11|Band 1-2</v>
      </c>
    </row>
    <row r="34" customFormat="false" ht="23.85" hidden="false" customHeight="false" outlineLevel="0" collapsed="false">
      <c r="A34" s="11" t="s">
        <v>78</v>
      </c>
      <c r="B34" s="11" t="s">
        <v>193</v>
      </c>
      <c r="C34" s="12" t="s">
        <v>224</v>
      </c>
      <c r="D34" s="29" t="str">
        <f aca="false">A34&amp;"|"&amp;B34</f>
        <v>Q11|Band 3-5</v>
      </c>
    </row>
    <row r="35" customFormat="false" ht="35.05" hidden="false" customHeight="false" outlineLevel="0" collapsed="false">
      <c r="A35" s="11" t="s">
        <v>82</v>
      </c>
      <c r="B35" s="11" t="s">
        <v>189</v>
      </c>
      <c r="C35" s="12" t="s">
        <v>225</v>
      </c>
      <c r="D35" s="29" t="str">
        <f aca="false">A35&amp;"|"&amp;B35</f>
        <v>Q12|Band 0</v>
      </c>
    </row>
    <row r="36" customFormat="false" ht="23.85" hidden="false" customHeight="false" outlineLevel="0" collapsed="false">
      <c r="A36" s="11" t="s">
        <v>82</v>
      </c>
      <c r="B36" s="11" t="s">
        <v>191</v>
      </c>
      <c r="C36" s="12" t="s">
        <v>226</v>
      </c>
      <c r="D36" s="29" t="str">
        <f aca="false">A36&amp;"|"&amp;B36</f>
        <v>Q12|Band 1-2</v>
      </c>
    </row>
    <row r="37" customFormat="false" ht="23.85" hidden="false" customHeight="false" outlineLevel="0" collapsed="false">
      <c r="A37" s="11" t="s">
        <v>82</v>
      </c>
      <c r="B37" s="11" t="s">
        <v>193</v>
      </c>
      <c r="C37" s="12" t="s">
        <v>227</v>
      </c>
      <c r="D37" s="29" t="str">
        <f aca="false">A37&amp;"|"&amp;B37</f>
        <v>Q12|Band 3-5</v>
      </c>
    </row>
    <row r="38" customFormat="false" ht="23.85" hidden="false" customHeight="false" outlineLevel="0" collapsed="false">
      <c r="A38" s="11" t="s">
        <v>86</v>
      </c>
      <c r="B38" s="11" t="s">
        <v>189</v>
      </c>
      <c r="C38" s="12" t="s">
        <v>228</v>
      </c>
      <c r="D38" s="29" t="str">
        <f aca="false">A38&amp;"|"&amp;B38</f>
        <v>Q13|Band 0</v>
      </c>
    </row>
    <row r="39" customFormat="false" ht="23.85" hidden="false" customHeight="false" outlineLevel="0" collapsed="false">
      <c r="A39" s="11" t="s">
        <v>86</v>
      </c>
      <c r="B39" s="11" t="s">
        <v>191</v>
      </c>
      <c r="C39" s="12" t="s">
        <v>229</v>
      </c>
      <c r="D39" s="29" t="str">
        <f aca="false">A39&amp;"|"&amp;B39</f>
        <v>Q13|Band 1-2</v>
      </c>
    </row>
    <row r="40" customFormat="false" ht="23.85" hidden="false" customHeight="false" outlineLevel="0" collapsed="false">
      <c r="A40" s="11" t="s">
        <v>86</v>
      </c>
      <c r="B40" s="11" t="s">
        <v>193</v>
      </c>
      <c r="C40" s="12" t="s">
        <v>230</v>
      </c>
      <c r="D40" s="29" t="str">
        <f aca="false">A40&amp;"|"&amp;B40</f>
        <v>Q13|Band 3-5</v>
      </c>
    </row>
    <row r="41" customFormat="false" ht="35.05" hidden="false" customHeight="false" outlineLevel="0" collapsed="false">
      <c r="A41" s="11" t="s">
        <v>90</v>
      </c>
      <c r="B41" s="11" t="s">
        <v>231</v>
      </c>
      <c r="C41" s="12" t="s">
        <v>232</v>
      </c>
      <c r="D41" s="29" t="str">
        <f aca="false">A41&amp;"|"&amp;B41</f>
        <v>Q14|Yes</v>
      </c>
    </row>
    <row r="42" customFormat="false" ht="46.25" hidden="false" customHeight="false" outlineLevel="0" collapsed="false">
      <c r="A42" s="11" t="s">
        <v>90</v>
      </c>
      <c r="B42" s="11" t="s">
        <v>233</v>
      </c>
      <c r="C42" s="12" t="s">
        <v>234</v>
      </c>
      <c r="D42" s="29" t="str">
        <f aca="false">A42&amp;"|"&amp;B42</f>
        <v>Q14|No</v>
      </c>
    </row>
    <row r="43" customFormat="false" ht="23.85" hidden="false" customHeight="false" outlineLevel="0" collapsed="false">
      <c r="A43" s="11" t="s">
        <v>95</v>
      </c>
      <c r="B43" s="11" t="s">
        <v>189</v>
      </c>
      <c r="C43" s="12" t="s">
        <v>235</v>
      </c>
      <c r="D43" s="29" t="str">
        <f aca="false">A43&amp;"|"&amp;B43</f>
        <v>Q15|Band 0</v>
      </c>
    </row>
    <row r="44" customFormat="false" ht="23.85" hidden="false" customHeight="false" outlineLevel="0" collapsed="false">
      <c r="A44" s="11" t="s">
        <v>95</v>
      </c>
      <c r="B44" s="11" t="s">
        <v>191</v>
      </c>
      <c r="C44" s="12" t="s">
        <v>236</v>
      </c>
      <c r="D44" s="29" t="str">
        <f aca="false">A44&amp;"|"&amp;B44</f>
        <v>Q15|Band 1-2</v>
      </c>
    </row>
    <row r="45" customFormat="false" ht="23.85" hidden="false" customHeight="false" outlineLevel="0" collapsed="false">
      <c r="A45" s="11" t="s">
        <v>95</v>
      </c>
      <c r="B45" s="11" t="s">
        <v>193</v>
      </c>
      <c r="C45" s="12" t="s">
        <v>237</v>
      </c>
      <c r="D45" s="29" t="str">
        <f aca="false">A45&amp;"|"&amp;B45</f>
        <v>Q15|Band 3-5</v>
      </c>
    </row>
    <row r="46" customFormat="false" ht="46.25" hidden="false" customHeight="false" outlineLevel="0" collapsed="false">
      <c r="A46" s="11" t="s">
        <v>100</v>
      </c>
      <c r="B46" s="11" t="s">
        <v>189</v>
      </c>
      <c r="C46" s="12" t="s">
        <v>238</v>
      </c>
      <c r="D46" s="29" t="str">
        <f aca="false">A46&amp;"|"&amp;B46</f>
        <v>Q16|Band 0</v>
      </c>
    </row>
    <row r="47" customFormat="false" ht="35.05" hidden="false" customHeight="false" outlineLevel="0" collapsed="false">
      <c r="A47" s="11" t="s">
        <v>100</v>
      </c>
      <c r="B47" s="11" t="s">
        <v>191</v>
      </c>
      <c r="C47" s="12" t="s">
        <v>239</v>
      </c>
      <c r="D47" s="29" t="str">
        <f aca="false">A47&amp;"|"&amp;B47</f>
        <v>Q16|Band 1-2</v>
      </c>
    </row>
    <row r="48" customFormat="false" ht="23.85" hidden="false" customHeight="false" outlineLevel="0" collapsed="false">
      <c r="A48" s="11" t="s">
        <v>100</v>
      </c>
      <c r="B48" s="11" t="s">
        <v>193</v>
      </c>
      <c r="C48" s="12" t="s">
        <v>240</v>
      </c>
      <c r="D48" s="29" t="str">
        <f aca="false">A48&amp;"|"&amp;B48</f>
        <v>Q16|Band 3-5</v>
      </c>
    </row>
    <row r="49" customFormat="false" ht="35.05" hidden="false" customHeight="false" outlineLevel="0" collapsed="false">
      <c r="A49" s="11" t="s">
        <v>105</v>
      </c>
      <c r="B49" s="11" t="s">
        <v>189</v>
      </c>
      <c r="C49" s="12" t="s">
        <v>241</v>
      </c>
      <c r="D49" s="29" t="str">
        <f aca="false">A49&amp;"|"&amp;B49</f>
        <v>Q17|Band 0</v>
      </c>
    </row>
    <row r="50" customFormat="false" ht="35.05" hidden="false" customHeight="false" outlineLevel="0" collapsed="false">
      <c r="A50" s="11" t="s">
        <v>105</v>
      </c>
      <c r="B50" s="11" t="s">
        <v>191</v>
      </c>
      <c r="C50" s="12" t="s">
        <v>242</v>
      </c>
      <c r="D50" s="29" t="str">
        <f aca="false">A50&amp;"|"&amp;B50</f>
        <v>Q17|Band 1-2</v>
      </c>
    </row>
    <row r="51" customFormat="false" ht="35.05" hidden="false" customHeight="false" outlineLevel="0" collapsed="false">
      <c r="A51" s="11" t="s">
        <v>105</v>
      </c>
      <c r="B51" s="11" t="s">
        <v>193</v>
      </c>
      <c r="C51" s="12" t="s">
        <v>243</v>
      </c>
      <c r="D51" s="29" t="str">
        <f aca="false">A51&amp;"|"&amp;B51</f>
        <v>Q17|Band 3-5</v>
      </c>
    </row>
    <row r="52" customFormat="false" ht="23.85" hidden="false" customHeight="false" outlineLevel="0" collapsed="false">
      <c r="A52" s="11" t="s">
        <v>109</v>
      </c>
      <c r="B52" s="11" t="s">
        <v>189</v>
      </c>
      <c r="C52" s="12" t="s">
        <v>244</v>
      </c>
      <c r="D52" s="29" t="str">
        <f aca="false">A52&amp;"|"&amp;B52</f>
        <v>Q18|Band 0</v>
      </c>
    </row>
    <row r="53" customFormat="false" ht="23.85" hidden="false" customHeight="false" outlineLevel="0" collapsed="false">
      <c r="A53" s="11" t="s">
        <v>109</v>
      </c>
      <c r="B53" s="11" t="s">
        <v>191</v>
      </c>
      <c r="C53" s="12" t="s">
        <v>245</v>
      </c>
      <c r="D53" s="29" t="str">
        <f aca="false">A53&amp;"|"&amp;B53</f>
        <v>Q18|Band 1-2</v>
      </c>
    </row>
    <row r="54" customFormat="false" ht="35.05" hidden="false" customHeight="false" outlineLevel="0" collapsed="false">
      <c r="A54" s="11" t="s">
        <v>109</v>
      </c>
      <c r="B54" s="11" t="s">
        <v>193</v>
      </c>
      <c r="C54" s="12" t="s">
        <v>246</v>
      </c>
      <c r="D54" s="29" t="str">
        <f aca="false">A54&amp;"|"&amp;B54</f>
        <v>Q18|Band 3-5</v>
      </c>
    </row>
    <row r="55" customFormat="false" ht="46.25" hidden="false" customHeight="false" outlineLevel="0" collapsed="false">
      <c r="A55" s="11" t="s">
        <v>113</v>
      </c>
      <c r="B55" s="11" t="s">
        <v>189</v>
      </c>
      <c r="C55" s="12" t="s">
        <v>247</v>
      </c>
      <c r="D55" s="29" t="str">
        <f aca="false">A55&amp;"|"&amp;B55</f>
        <v>Q19|Band 0</v>
      </c>
    </row>
    <row r="56" customFormat="false" ht="23.85" hidden="false" customHeight="false" outlineLevel="0" collapsed="false">
      <c r="A56" s="11" t="s">
        <v>113</v>
      </c>
      <c r="B56" s="11" t="s">
        <v>191</v>
      </c>
      <c r="C56" s="12" t="s">
        <v>248</v>
      </c>
      <c r="D56" s="29" t="str">
        <f aca="false">A56&amp;"|"&amp;B56</f>
        <v>Q19|Band 1-2</v>
      </c>
    </row>
    <row r="57" customFormat="false" ht="23.85" hidden="false" customHeight="false" outlineLevel="0" collapsed="false">
      <c r="A57" s="11" t="s">
        <v>113</v>
      </c>
      <c r="B57" s="11" t="s">
        <v>193</v>
      </c>
      <c r="C57" s="12" t="s">
        <v>249</v>
      </c>
      <c r="D57" s="29" t="str">
        <f aca="false">A57&amp;"|"&amp;B57</f>
        <v>Q19|Band 3-5</v>
      </c>
    </row>
    <row r="58" customFormat="false" ht="23.85" hidden="false" customHeight="false" outlineLevel="0" collapsed="false">
      <c r="A58" s="11" t="s">
        <v>118</v>
      </c>
      <c r="B58" s="11" t="s">
        <v>189</v>
      </c>
      <c r="C58" s="12" t="s">
        <v>250</v>
      </c>
      <c r="D58" s="29" t="str">
        <f aca="false">A58&amp;"|"&amp;B58</f>
        <v>Q20|Band 0</v>
      </c>
    </row>
    <row r="59" customFormat="false" ht="46.25" hidden="false" customHeight="false" outlineLevel="0" collapsed="false">
      <c r="A59" s="11" t="s">
        <v>118</v>
      </c>
      <c r="B59" s="11" t="s">
        <v>191</v>
      </c>
      <c r="C59" s="12" t="s">
        <v>251</v>
      </c>
      <c r="D59" s="29" t="str">
        <f aca="false">A59&amp;"|"&amp;B59</f>
        <v>Q20|Band 1-2</v>
      </c>
    </row>
    <row r="60" customFormat="false" ht="35.05" hidden="false" customHeight="false" outlineLevel="0" collapsed="false">
      <c r="A60" s="11" t="s">
        <v>118</v>
      </c>
      <c r="B60" s="11" t="s">
        <v>193</v>
      </c>
      <c r="C60" s="12" t="s">
        <v>252</v>
      </c>
      <c r="D60" s="29" t="str">
        <f aca="false">A60&amp;"|"&amp;B60</f>
        <v>Q20|Band 3-5</v>
      </c>
    </row>
    <row r="61" customFormat="false" ht="46.25" hidden="false" customHeight="false" outlineLevel="0" collapsed="false">
      <c r="A61" s="11" t="s">
        <v>123</v>
      </c>
      <c r="B61" s="11" t="s">
        <v>189</v>
      </c>
      <c r="C61" s="12" t="s">
        <v>253</v>
      </c>
      <c r="D61" s="29" t="str">
        <f aca="false">A61&amp;"|"&amp;B61</f>
        <v>Q21|Band 0</v>
      </c>
    </row>
    <row r="62" customFormat="false" ht="35.05" hidden="false" customHeight="false" outlineLevel="0" collapsed="false">
      <c r="A62" s="11" t="s">
        <v>123</v>
      </c>
      <c r="B62" s="11" t="s">
        <v>191</v>
      </c>
      <c r="C62" s="12" t="s">
        <v>254</v>
      </c>
      <c r="D62" s="29" t="str">
        <f aca="false">A62&amp;"|"&amp;B62</f>
        <v>Q21|Band 1-2</v>
      </c>
    </row>
    <row r="63" customFormat="false" ht="35.05" hidden="false" customHeight="false" outlineLevel="0" collapsed="false">
      <c r="A63" s="11" t="s">
        <v>123</v>
      </c>
      <c r="B63" s="11" t="s">
        <v>193</v>
      </c>
      <c r="C63" s="12" t="s">
        <v>255</v>
      </c>
      <c r="D63" s="29" t="str">
        <f aca="false">A63&amp;"|"&amp;B63</f>
        <v>Q21|Band 3-5</v>
      </c>
    </row>
    <row r="64" customFormat="false" ht="23.85" hidden="false" customHeight="false" outlineLevel="0" collapsed="false">
      <c r="A64" s="11" t="s">
        <v>128</v>
      </c>
      <c r="B64" s="11" t="s">
        <v>189</v>
      </c>
      <c r="C64" s="12" t="s">
        <v>256</v>
      </c>
      <c r="D64" s="29" t="str">
        <f aca="false">A64&amp;"|"&amp;B64</f>
        <v>Q22|Band 0</v>
      </c>
    </row>
    <row r="65" customFormat="false" ht="23.85" hidden="false" customHeight="false" outlineLevel="0" collapsed="false">
      <c r="A65" s="11" t="s">
        <v>128</v>
      </c>
      <c r="B65" s="11" t="s">
        <v>191</v>
      </c>
      <c r="C65" s="12" t="s">
        <v>257</v>
      </c>
      <c r="D65" s="29" t="str">
        <f aca="false">A65&amp;"|"&amp;B65</f>
        <v>Q22|Band 1-2</v>
      </c>
    </row>
    <row r="66" customFormat="false" ht="35.05" hidden="false" customHeight="false" outlineLevel="0" collapsed="false">
      <c r="A66" s="11" t="s">
        <v>128</v>
      </c>
      <c r="B66" s="11" t="s">
        <v>193</v>
      </c>
      <c r="C66" s="12" t="s">
        <v>258</v>
      </c>
      <c r="D66" s="29" t="str">
        <f aca="false">A66&amp;"|"&amp;B66</f>
        <v>Q22|Band 3-5</v>
      </c>
    </row>
    <row r="67" customFormat="false" ht="35.05" hidden="false" customHeight="false" outlineLevel="0" collapsed="false">
      <c r="A67" s="11" t="s">
        <v>132</v>
      </c>
      <c r="B67" s="11" t="s">
        <v>189</v>
      </c>
      <c r="C67" s="12" t="s">
        <v>259</v>
      </c>
      <c r="D67" s="29" t="str">
        <f aca="false">A67&amp;"|"&amp;B67</f>
        <v>Q23|Band 0</v>
      </c>
    </row>
    <row r="68" customFormat="false" ht="23.85" hidden="false" customHeight="false" outlineLevel="0" collapsed="false">
      <c r="A68" s="11" t="s">
        <v>132</v>
      </c>
      <c r="B68" s="11" t="s">
        <v>191</v>
      </c>
      <c r="C68" s="12" t="s">
        <v>260</v>
      </c>
      <c r="D68" s="29" t="str">
        <f aca="false">A68&amp;"|"&amp;B68</f>
        <v>Q23|Band 1-2</v>
      </c>
    </row>
    <row r="69" customFormat="false" ht="23.85" hidden="false" customHeight="false" outlineLevel="0" collapsed="false">
      <c r="A69" s="11" t="s">
        <v>132</v>
      </c>
      <c r="B69" s="11" t="s">
        <v>193</v>
      </c>
      <c r="C69" s="12" t="s">
        <v>261</v>
      </c>
      <c r="D69" s="29" t="str">
        <f aca="false">A69&amp;"|"&amp;B69</f>
        <v>Q23|Band 3-5</v>
      </c>
    </row>
    <row r="70" customFormat="false" ht="46.25" hidden="false" customHeight="false" outlineLevel="0" collapsed="false">
      <c r="A70" s="11" t="s">
        <v>137</v>
      </c>
      <c r="B70" s="11" t="s">
        <v>231</v>
      </c>
      <c r="C70" s="12" t="s">
        <v>262</v>
      </c>
      <c r="D70" s="29" t="str">
        <f aca="false">A70&amp;"|"&amp;B70</f>
        <v>Q24|Yes</v>
      </c>
    </row>
    <row r="71" customFormat="false" ht="46.25" hidden="false" customHeight="false" outlineLevel="0" collapsed="false">
      <c r="A71" s="11" t="s">
        <v>137</v>
      </c>
      <c r="B71" s="11" t="s">
        <v>233</v>
      </c>
      <c r="C71" s="12" t="s">
        <v>263</v>
      </c>
      <c r="D71" s="29" t="str">
        <f aca="false">A71&amp;"|"&amp;B71</f>
        <v>Q24|No</v>
      </c>
    </row>
    <row r="72" customFormat="false" ht="35.05" hidden="false" customHeight="false" outlineLevel="0" collapsed="false">
      <c r="A72" s="11" t="s">
        <v>144</v>
      </c>
      <c r="B72" s="11" t="s">
        <v>189</v>
      </c>
      <c r="C72" s="12" t="s">
        <v>264</v>
      </c>
      <c r="D72" s="29" t="str">
        <f aca="false">A72&amp;"|"&amp;B72</f>
        <v>Q25|Band 0</v>
      </c>
    </row>
    <row r="73" customFormat="false" ht="23.85" hidden="false" customHeight="false" outlineLevel="0" collapsed="false">
      <c r="A73" s="11" t="s">
        <v>144</v>
      </c>
      <c r="B73" s="11" t="s">
        <v>191</v>
      </c>
      <c r="C73" s="12" t="s">
        <v>265</v>
      </c>
      <c r="D73" s="29" t="str">
        <f aca="false">A73&amp;"|"&amp;B73</f>
        <v>Q25|Band 1-2</v>
      </c>
    </row>
    <row r="74" customFormat="false" ht="23.85" hidden="false" customHeight="false" outlineLevel="0" collapsed="false">
      <c r="A74" s="11" t="s">
        <v>144</v>
      </c>
      <c r="B74" s="11" t="s">
        <v>193</v>
      </c>
      <c r="C74" s="12" t="s">
        <v>266</v>
      </c>
      <c r="D74" s="29" t="str">
        <f aca="false">A74&amp;"|"&amp;B74</f>
        <v>Q25|Band 3-5</v>
      </c>
    </row>
    <row r="75" customFormat="false" ht="35.05" hidden="false" customHeight="false" outlineLevel="0" collapsed="false">
      <c r="A75" s="11" t="s">
        <v>150</v>
      </c>
      <c r="B75" s="11" t="s">
        <v>189</v>
      </c>
      <c r="C75" s="12" t="s">
        <v>267</v>
      </c>
      <c r="D75" s="29" t="str">
        <f aca="false">A75&amp;"|"&amp;B75</f>
        <v>Q26|Band 0</v>
      </c>
    </row>
    <row r="76" customFormat="false" ht="35.05" hidden="false" customHeight="false" outlineLevel="0" collapsed="false">
      <c r="A76" s="11" t="s">
        <v>150</v>
      </c>
      <c r="B76" s="11" t="s">
        <v>191</v>
      </c>
      <c r="C76" s="12" t="s">
        <v>268</v>
      </c>
      <c r="D76" s="29" t="str">
        <f aca="false">A76&amp;"|"&amp;B76</f>
        <v>Q26|Band 1-2</v>
      </c>
    </row>
    <row r="77" customFormat="false" ht="23.85" hidden="false" customHeight="false" outlineLevel="0" collapsed="false">
      <c r="A77" s="11" t="s">
        <v>150</v>
      </c>
      <c r="B77" s="11" t="s">
        <v>193</v>
      </c>
      <c r="C77" s="12" t="s">
        <v>269</v>
      </c>
      <c r="D77" s="29" t="str">
        <f aca="false">A77&amp;"|"&amp;B77</f>
        <v>Q26|Band 3-5</v>
      </c>
    </row>
    <row r="78" customFormat="false" ht="23.85" hidden="false" customHeight="false" outlineLevel="0" collapsed="false">
      <c r="A78" s="11" t="s">
        <v>155</v>
      </c>
      <c r="B78" s="11" t="s">
        <v>189</v>
      </c>
      <c r="C78" s="12" t="s">
        <v>270</v>
      </c>
      <c r="D78" s="29" t="str">
        <f aca="false">A78&amp;"|"&amp;B78</f>
        <v>Q27|Band 0</v>
      </c>
    </row>
    <row r="79" customFormat="false" ht="23.85" hidden="false" customHeight="false" outlineLevel="0" collapsed="false">
      <c r="A79" s="11" t="s">
        <v>155</v>
      </c>
      <c r="B79" s="11" t="s">
        <v>191</v>
      </c>
      <c r="C79" s="12" t="s">
        <v>271</v>
      </c>
      <c r="D79" s="29" t="str">
        <f aca="false">A79&amp;"|"&amp;B79</f>
        <v>Q27|Band 1-2</v>
      </c>
    </row>
    <row r="80" customFormat="false" ht="23.85" hidden="false" customHeight="false" outlineLevel="0" collapsed="false">
      <c r="A80" s="11" t="s">
        <v>155</v>
      </c>
      <c r="B80" s="11" t="s">
        <v>193</v>
      </c>
      <c r="C80" s="12" t="s">
        <v>272</v>
      </c>
      <c r="D80" s="29" t="str">
        <f aca="false">A80&amp;"|"&amp;B80</f>
        <v>Q27|Band 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65"/>
    <col collapsed="false" customWidth="true" hidden="false" outlineLevel="0" max="4" min="4" style="0" width="14"/>
    <col collapsed="false" customWidth="true" hidden="false" outlineLevel="0" max="5" min="5" style="0" width="24"/>
  </cols>
  <sheetData>
    <row r="1" customFormat="false" ht="27.75" hidden="false" customHeight="true" outlineLevel="0" collapsed="false">
      <c r="A1" s="6" t="s">
        <v>273</v>
      </c>
      <c r="B1" s="6" t="s">
        <v>274</v>
      </c>
      <c r="C1" s="6" t="s">
        <v>275</v>
      </c>
      <c r="D1" s="6" t="s">
        <v>276</v>
      </c>
      <c r="E1" s="6" t="s">
        <v>277</v>
      </c>
    </row>
    <row r="2" customFormat="false" ht="15" hidden="false" customHeight="false" outlineLevel="0" collapsed="false">
      <c r="A2" s="9" t="s">
        <v>278</v>
      </c>
      <c r="B2" s="8" t="s">
        <v>279</v>
      </c>
      <c r="C2" s="8" t="s">
        <v>280</v>
      </c>
      <c r="D2" s="9" t="n">
        <v>2</v>
      </c>
      <c r="E2" s="9" t="s">
        <v>231</v>
      </c>
    </row>
    <row r="3" customFormat="false" ht="23.85" hidden="false" customHeight="false" outlineLevel="0" collapsed="false">
      <c r="A3" s="17" t="s">
        <v>281</v>
      </c>
      <c r="B3" s="16" t="s">
        <v>282</v>
      </c>
      <c r="C3" s="16" t="s">
        <v>283</v>
      </c>
      <c r="D3" s="17" t="n">
        <v>3</v>
      </c>
      <c r="E3" s="17" t="s">
        <v>231</v>
      </c>
    </row>
    <row r="4" customFormat="false" ht="23.85" hidden="false" customHeight="false" outlineLevel="0" collapsed="false">
      <c r="A4" s="9" t="s">
        <v>284</v>
      </c>
      <c r="B4" s="8" t="s">
        <v>285</v>
      </c>
      <c r="C4" s="8" t="s">
        <v>286</v>
      </c>
      <c r="D4" s="9" t="n">
        <v>1</v>
      </c>
      <c r="E4" s="9" t="s">
        <v>231</v>
      </c>
    </row>
    <row r="5" customFormat="false" ht="23.85" hidden="false" customHeight="false" outlineLevel="0" collapsed="false">
      <c r="A5" s="17" t="s">
        <v>287</v>
      </c>
      <c r="B5" s="16" t="s">
        <v>288</v>
      </c>
      <c r="C5" s="16" t="s">
        <v>289</v>
      </c>
      <c r="D5" s="17" t="n">
        <v>1</v>
      </c>
      <c r="E5" s="17" t="s">
        <v>231</v>
      </c>
    </row>
    <row r="6" customFormat="false" ht="23.85" hidden="false" customHeight="false" outlineLevel="0" collapsed="false">
      <c r="A6" s="9" t="s">
        <v>290</v>
      </c>
      <c r="B6" s="8" t="s">
        <v>291</v>
      </c>
      <c r="C6" s="8" t="s">
        <v>292</v>
      </c>
      <c r="D6" s="9" t="n">
        <v>1</v>
      </c>
      <c r="E6" s="9" t="s">
        <v>231</v>
      </c>
    </row>
    <row r="7" customFormat="false" ht="23.85" hidden="false" customHeight="false" outlineLevel="0" collapsed="false">
      <c r="A7" s="17" t="s">
        <v>293</v>
      </c>
      <c r="B7" s="16" t="s">
        <v>294</v>
      </c>
      <c r="C7" s="16" t="s">
        <v>295</v>
      </c>
      <c r="D7" s="17" t="n">
        <v>2</v>
      </c>
      <c r="E7" s="17" t="s">
        <v>231</v>
      </c>
    </row>
    <row r="8" customFormat="false" ht="23.85" hidden="false" customHeight="false" outlineLevel="0" collapsed="false">
      <c r="A8" s="9" t="s">
        <v>296</v>
      </c>
      <c r="B8" s="8" t="s">
        <v>297</v>
      </c>
      <c r="C8" s="8" t="s">
        <v>298</v>
      </c>
      <c r="D8" s="9" t="n">
        <v>5</v>
      </c>
      <c r="E8" s="9" t="s">
        <v>231</v>
      </c>
    </row>
    <row r="9" customFormat="false" ht="23.85" hidden="false" customHeight="false" outlineLevel="0" collapsed="false">
      <c r="A9" s="17" t="s">
        <v>299</v>
      </c>
      <c r="B9" s="16" t="s">
        <v>300</v>
      </c>
      <c r="C9" s="16" t="s">
        <v>301</v>
      </c>
      <c r="D9" s="17" t="n">
        <v>2</v>
      </c>
      <c r="E9" s="17" t="s">
        <v>231</v>
      </c>
    </row>
    <row r="10" customFormat="false" ht="23.85" hidden="false" customHeight="false" outlineLevel="0" collapsed="false">
      <c r="A10" s="9" t="s">
        <v>302</v>
      </c>
      <c r="B10" s="8" t="s">
        <v>303</v>
      </c>
      <c r="C10" s="8" t="s">
        <v>304</v>
      </c>
      <c r="D10" s="9" t="n">
        <v>1</v>
      </c>
      <c r="E10" s="9" t="s">
        <v>231</v>
      </c>
    </row>
    <row r="11" customFormat="false" ht="23.85" hidden="false" customHeight="false" outlineLevel="0" collapsed="false">
      <c r="A11" s="17" t="s">
        <v>305</v>
      </c>
      <c r="B11" s="16" t="s">
        <v>306</v>
      </c>
      <c r="C11" s="16" t="s">
        <v>307</v>
      </c>
      <c r="D11" s="17" t="n">
        <v>2</v>
      </c>
      <c r="E11" s="17" t="s">
        <v>231</v>
      </c>
    </row>
    <row r="12" customFormat="false" ht="23.85" hidden="false" customHeight="false" outlineLevel="0" collapsed="false">
      <c r="A12" s="9" t="s">
        <v>308</v>
      </c>
      <c r="B12" s="8" t="s">
        <v>309</v>
      </c>
      <c r="C12" s="8" t="s">
        <v>310</v>
      </c>
      <c r="D12" s="9" t="n">
        <v>3</v>
      </c>
      <c r="E12" s="9" t="s">
        <v>311</v>
      </c>
    </row>
    <row r="13" customFormat="false" ht="23.85" hidden="false" customHeight="false" outlineLevel="0" collapsed="false">
      <c r="A13" s="17" t="s">
        <v>312</v>
      </c>
      <c r="B13" s="16" t="s">
        <v>313</v>
      </c>
      <c r="C13" s="16" t="s">
        <v>314</v>
      </c>
      <c r="D13" s="17" t="n">
        <v>1</v>
      </c>
      <c r="E13" s="17" t="s">
        <v>231</v>
      </c>
    </row>
    <row r="14" customFormat="false" ht="23.85" hidden="false" customHeight="false" outlineLevel="0" collapsed="false">
      <c r="A14" s="9" t="s">
        <v>315</v>
      </c>
      <c r="B14" s="8" t="s">
        <v>316</v>
      </c>
      <c r="C14" s="8" t="s">
        <v>317</v>
      </c>
      <c r="D14" s="9" t="n">
        <v>1</v>
      </c>
      <c r="E14" s="9" t="s">
        <v>231</v>
      </c>
    </row>
    <row r="16" customFormat="false" ht="22.35" hidden="false" customHeight="true" outlineLevel="0" collapsed="false">
      <c r="A16" s="27" t="s">
        <v>318</v>
      </c>
      <c r="B16" s="27"/>
      <c r="C16" s="27"/>
      <c r="D16" s="27"/>
      <c r="E16" s="27"/>
    </row>
  </sheetData>
  <mergeCells count="1">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2026-08-07T05:48:50Z</dcterms:created>
  <dc:creator>openpyxl</dc:creator>
  <dc:description/>
  <dc:language>en-US</dc:language>
  <cp:lastModifiedBy/>
  <dcterms:modified xsi:type="dcterms:W3CDTF">2026-08-07T05:48:50Z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