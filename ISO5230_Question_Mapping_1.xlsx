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Question Mapping" sheetId="2" state="visible" r:id="rId4"/>
    <sheet name="Division Recommendations" sheetId="3" state="visible" r:id="rId5"/>
    <sheet name="Topic Summary" sheetId="4" state="visible" r:id="rId6"/>
    <sheet name="Recommendation Library" sheetId="5" state="visible" r:id="rId7"/>
    <sheet name="ISO 5230 Clause Referenc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<sst xmlns="http://schemas.openxmlformats.org/spreadsheetml/2006/main" count="574" uniqueCount="319">
  <si>
    <t xml:space="preserve">ISO/IEC 5230:2020 Question Mapping &amp; Recommendation Workbook</t>
  </si>
  <si>
    <t xml:space="preserve">Prepared for: Open Source Compliance Maturity Assessment</t>
  </si>
  <si>
    <t xml:space="preserve">What this workbook does</t>
  </si>
  <si>
    <t xml:space="preserve">This workbook maps all 27 assessment questions to the 6 key concepts (clauses) of ISO/IEC 5230:2020, weights each question within its topic by how mandatory and central it is to that clause, and then generates a tailored recommendation for every question based on the maturity score or Yes/No answer entered for it. Nothing here is generic boilerplate - every recommendation is written against the specific control the question is testing.</t>
  </si>
  <si>
    <t xml:space="preserve">Sheet guide</t>
  </si>
  <si>
    <t xml:space="preserve">- Question Mapping: the core working sheet. Enter a score in column J for each question; columns K and L update automatically with the maturity band and a tailored recommendation.</t>
  </si>
  <si>
    <t xml:space="preserve">- Division Recommendations: one strategic narrative per topic (division) covering sequencing, dependencies and quick wins - use this for the executive-level conversation, not just the line-item detail.</t>
  </si>
  <si>
    <t xml:space="preserve">- Topic Summary: the weighting rollup showing each topic sums to 1.00, plus the topic-level concept description.</t>
  </si>
  <si>
    <t xml:space="preserve">- Recommendation Library: the backing data behind the auto-recommendation formulas. Edit text here if wording needs to change; the Question Mapping sheet will pick up edits automatically.</t>
  </si>
  <si>
    <t xml:space="preserve">- ISO 5230 Clause Reference: a paraphrased quick-reference to the standard's 13 core requirements, for context.</t>
  </si>
  <si>
    <t xml:space="preserve">How scoring and bands work</t>
  </si>
  <si>
    <t xml:space="preserve">Maturity Scale questions use the client's native 0-5 scale. Per the assessment brief, scores are grouped into three recommendation bands:</t>
  </si>
  <si>
    <t xml:space="preserve">   Band 0  =  0  (Not implemented - no evidence the control exists)</t>
  </si>
  <si>
    <t xml:space="preserve">   Band 1-2  =  1 or 2  (Initiated - the control is defined, or defined and implemented, enough to support initial self-certification)</t>
  </si>
  <si>
    <t xml:space="preserve">   Band 3-5  =  3, 4 or 5  (Formally managed and/or metrics-driven - a score of 5 sits at the top of this band as the leading-practice / fully optimized end, rather than as a separate band, since both 3-4 and 5 represent a control that has moved beyond basic implementation into active management)</t>
  </si>
  <si>
    <t xml:space="preserve">Yes/No questions get a recommendation keyed directly to the Yes or No answer. One question in the assessment - 'Is there any open source contribution?' - is a Gate question: its answer determines whether the very next question (the contribution policy) applies at all. If the gate is answered 'No', the contribution-policy row automatically shows an 'N/A' recommendation regardless of what score is entered there, because ISO 5230's Community Contributions clause only applies to organizations that contribute.</t>
  </si>
  <si>
    <t xml:space="preserve">How to enter scores</t>
  </si>
  <si>
    <t xml:space="preserve">Go to the Question Mapping sheet, column J ('Client Score'). Each cell has a dropdown - 0 through 5 for Maturity Scale questions, Yes/No for the two Yes/No questions. Once a score is entered, column K shows the resulting band and column L auto-populates with the matching recommendation. Leave a cell blank and column L will simply prompt for a score.</t>
  </si>
  <si>
    <t xml:space="preserve">A professional note</t>
  </si>
  <si>
    <t xml:space="preserve">These recommendations are written as practical, general guidance to accelerate a client conversation - they are not a substitute for a qualified legal or compliance professional's review before being finalized in a client deliverable, particularly anywhere license-obligation interpretation or contractual risk is involved.</t>
  </si>
  <si>
    <t xml:space="preserve">Question ID</t>
  </si>
  <si>
    <t xml:space="preserve">Topic / Key Concept</t>
  </si>
  <si>
    <t xml:space="preserve">Rank in Topic</t>
  </si>
  <si>
    <t xml:space="preserve">Question</t>
  </si>
  <si>
    <t xml:space="preserve">ISO 5230:2020 Clause</t>
  </si>
  <si>
    <t xml:space="preserve">Requirement Type</t>
  </si>
  <si>
    <t xml:space="preserve">Weight</t>
  </si>
  <si>
    <t xml:space="preserve">Rationale</t>
  </si>
  <si>
    <t xml:space="preserve">Question Type</t>
  </si>
  <si>
    <t xml:space="preserve">Client Score</t>
  </si>
  <si>
    <t xml:space="preserve">Maturity / Answer Band</t>
  </si>
  <si>
    <t xml:space="preserve">Recommendation</t>
  </si>
  <si>
    <t xml:space="preserve">Q01</t>
  </si>
  <si>
    <t xml:space="preserve">1. Program Foundation (Policy, Roles, Competence, Awareness)</t>
  </si>
  <si>
    <t xml:space="preserve">Are open source compliance roles and responsibilities clearly defined, assigned, and documented for each individual whose work may impact performance?</t>
  </si>
  <si>
    <t xml:space="preserve">S3.1.2 Competence (VM 3.1.2.1)</t>
  </si>
  <si>
    <t xml:space="preserve">Mandatory (shall)</t>
  </si>
  <si>
    <t xml:space="preserve">Directly matches the standard's first Competence verification material - a documented list of roles and responsibilities. Foundational: the other competence/awareness requirements depend on roles being defined first.</t>
  </si>
  <si>
    <t xml:space="preserve">Maturity Scale (0-5)</t>
  </si>
  <si>
    <t xml:space="preserve">Q02</t>
  </si>
  <si>
    <t xml:space="preserve">Are the competencies for each role defined and aligned with your compliance program?</t>
  </si>
  <si>
    <t xml:space="preserve">S3.1.2 Competence (VM 3.1.2.2)</t>
  </si>
  <si>
    <t xml:space="preserve">Matches the second Competence verification material - determining the necessary competence per role. Second step after roles are defined.</t>
  </si>
  <si>
    <t xml:space="preserve">Q03</t>
  </si>
  <si>
    <t xml:space="preserve">Is each program participant's capabilities and competencies documented?</t>
  </si>
  <si>
    <t xml:space="preserve">S3.1.2 Competence (VM 3.1.2.3)</t>
  </si>
  <si>
    <t xml:space="preserve">Matches the third Competence verification material - documented evidence of assessed competence. Completes the 3-part requirement: roles -&gt; required competence -&gt; assessed evidence.</t>
  </si>
  <si>
    <t xml:space="preserve">Q04</t>
  </si>
  <si>
    <t xml:space="preserve">Is there any official documentation or defined procedure for employees to follow regarding the company's open source policy?</t>
  </si>
  <si>
    <t xml:space="preserve">S3.1.1 Policy (VM 3.1.1.1)</t>
  </si>
  <si>
    <t xml:space="preserve">This is the base requirement of the entire standard - a written, internally communicated open source policy must exist. Nearly every other clause assumes this policy exists.</t>
  </si>
  <si>
    <t xml:space="preserve">Q05</t>
  </si>
  <si>
    <t xml:space="preserve">Is there a documented policy that explains the scope, limits, and distribution rules for open source software?</t>
  </si>
  <si>
    <t xml:space="preserve">S3.1.4 Program Scope + S3.1.1 Policy</t>
  </si>
  <si>
    <t xml:space="preserve">Combines the Program Scope requirement (a written statement of scope and limits) with policy content on distribution. Scope must be declared before conformance can even be assessed.</t>
  </si>
  <si>
    <t xml:space="preserve">Q06</t>
  </si>
  <si>
    <t xml:space="preserve">Is there a documented procedure for reviewing and recording open source license obligations, restrictions, and rights for components listed in the SBOM?</t>
  </si>
  <si>
    <t xml:space="preserve">S3.1.5 License Obligations (VM 3.1.5.1)</t>
  </si>
  <si>
    <t xml:space="preserve">Matches the License Obligations requirement - a process to review identified licenses for obligations, restrictions and rights. Feeds directly into the BOM and license-use-case clauses.</t>
  </si>
  <si>
    <t xml:space="preserve">Q07</t>
  </si>
  <si>
    <t xml:space="preserve">Is there a system in place for mandatory learning and training on open-source software license compliance?</t>
  </si>
  <si>
    <t xml:space="preserve">S3.1.3 Awareness (VM 3.1.3.1)</t>
  </si>
  <si>
    <t xml:space="preserve">Matches the Awareness requirement - participants must be aware of the policy, objectives, their role, and the consequences of non-conformance, typically evidenced via training.</t>
  </si>
  <si>
    <t xml:space="preserve">Q08</t>
  </si>
  <si>
    <t xml:space="preserve">Is there an identification process to find out the requirements for each program role?</t>
  </si>
  <si>
    <t xml:space="preserve">S3.1.2 Competence (supporting)</t>
  </si>
  <si>
    <t xml:space="preserve">Overlaps with VM 3.1.2.2 (determining necessary competence per role) rather than being a distinct verification material, so weighted lower than the primary competence questions.</t>
  </si>
  <si>
    <t xml:space="preserve">Q09</t>
  </si>
  <si>
    <t xml:space="preserve">Is there documentation outlining the compliance requirements and obligations the organization must follow based on domain, customer contracts, service providers, or other relevant factors?</t>
  </si>
  <si>
    <t xml:space="preserve">S3.1.5 License Obligations (extension)</t>
  </si>
  <si>
    <t xml:space="preserve">Contextual / supporting</t>
  </si>
  <si>
    <t xml:space="preserve">Useful context feeding license-obligation reviews (domain- and contract-driven obligations), but not itself a distinct ISO 5230 verification material - supporting detail for S3.1.5.</t>
  </si>
  <si>
    <t xml:space="preserve">Subtotal - 1. Program Foundation (Policy, Roles, Competence, Awareness)</t>
  </si>
  <si>
    <t xml:space="preserve">Q10</t>
  </si>
  <si>
    <t xml:space="preserve">2. Program Resourcing &amp; External Access</t>
  </si>
  <si>
    <t xml:space="preserve">Is there a documented procedure for assigning internal responsibilities for open source compliance?</t>
  </si>
  <si>
    <t xml:space="preserve">S3.2.2 Effectively Resourced (VM 3.2.2.4)</t>
  </si>
  <si>
    <t xml:space="preserve">Directly matches the verification material requiring a documented procedure assigning internal compliance responsibilities - core to making the program actionable, not just defined on paper.</t>
  </si>
  <si>
    <t xml:space="preserve">Q11</t>
  </si>
  <si>
    <t xml:space="preserve">Is there a documented procedure for handling the review and remediation of Open Source non-compliant cases?</t>
  </si>
  <si>
    <t xml:space="preserve">S3.2.2 Effectively Resourced (VM 3.2.2.5)</t>
  </si>
  <si>
    <t xml:space="preserve">Directly matches the verification material for a non-compliance remediation procedure - a required resolution path for license issues, equally central to S3.2.</t>
  </si>
  <si>
    <t xml:space="preserve">Q12</t>
  </si>
  <si>
    <t xml:space="preserve">Is there a documented procedure in place for open source compliance inquiries to be received and responded to?</t>
  </si>
  <si>
    <t xml:space="preserve">S3.2.1 Access (VM 3.2.1.2)</t>
  </si>
  <si>
    <t xml:space="preserve">Matches the internal-side Access requirement: an internal procedure for responding to third-party compliance inquiries once received.</t>
  </si>
  <si>
    <t xml:space="preserve">Q13</t>
  </si>
  <si>
    <t xml:space="preserve">Has responsibility for receiving external open source compliance inquiries been assigned to specific individual(s)?</t>
  </si>
  <si>
    <t xml:space="preserve">S3.2.1 Access (supporting)</t>
  </si>
  <si>
    <t xml:space="preserve">Operational precondition for S3.2.1 - inquiries can't be handled unless a named owner exists to receive them.</t>
  </si>
  <si>
    <t xml:space="preserve">Q14</t>
  </si>
  <si>
    <t xml:space="preserve">Is the external open source compliance contact publicly identified, for example through an email address or contact details or the Linux Foundation Open Compliance Directory?</t>
  </si>
  <si>
    <t xml:space="preserve">S3.2.1 Access (VM 3.2.1.1)</t>
  </si>
  <si>
    <t xml:space="preserve">Matches the public-facing Access verification material - a publicly visible way for third parties to raise a compliance inquiry (e.g., published email or Open Compliance Directory listing).</t>
  </si>
  <si>
    <t xml:space="preserve">Yes / No</t>
  </si>
  <si>
    <t xml:space="preserve">Q15</t>
  </si>
  <si>
    <t xml:space="preserve">Have the persons, groups, or functions supporting the program roles been documented?</t>
  </si>
  <si>
    <t xml:space="preserve">S3.2.2 Effectively Resourced (VM 3.2.2.1)</t>
  </si>
  <si>
    <t xml:space="preserve">Matches the resourcing verification material naming persons/groups/functions in each program role, but overlaps substantially with the roles-and-responsibilities question already scored under Program Foundation, so weighted lowest here.</t>
  </si>
  <si>
    <t xml:space="preserve">Subtotal - 2. Program Resourcing &amp; External Access</t>
  </si>
  <si>
    <t xml:space="preserve">Q16</t>
  </si>
  <si>
    <t xml:space="preserve">3. Bill of Materials &amp; Content Review</t>
  </si>
  <si>
    <t xml:space="preserve">Is there a documented procedure for identifying, tracking, and archiving information about the open source components in the software that is distributed?</t>
  </si>
  <si>
    <t xml:space="preserve">S3.3.1 Bill of Materials (VM 3.3.1.1)</t>
  </si>
  <si>
    <t xml:space="preserve">This is the core Bill of Materials requirement - the documented procedure to identify, track, review, approve and archive OSS component information. The single most important item in this topic.</t>
  </si>
  <si>
    <t xml:space="preserve">Q17</t>
  </si>
  <si>
    <t xml:space="preserve">Is open source component inventory for the distributed software available, demonstrating that the documented procedure was properly followed?</t>
  </si>
  <si>
    <t xml:space="preserve">S3.3.1 Bill of Materials (VM 3.3.1.2)</t>
  </si>
  <si>
    <t xml:space="preserve">Matches the second BOM verification material - actual component records proving the procedure was followed, not just that it exists on paper.</t>
  </si>
  <si>
    <t xml:space="preserve">Q18</t>
  </si>
  <si>
    <t xml:space="preserve">Is there a system in place for verifying the Software Bill of Materials (SBOM) for the software products created and distributed by the organization?</t>
  </si>
  <si>
    <t xml:space="preserve">S3.3.1 Bill of Materials (verification emphasis)</t>
  </si>
  <si>
    <t xml:space="preserve">Reinforces S3.3.1 with an emphasis on verification/accuracy of the BOM for outbound (distributed) software, implicit in the standard's 'reviewing and approving' component records language.</t>
  </si>
  <si>
    <t xml:space="preserve">Q19</t>
  </si>
  <si>
    <t xml:space="preserve">Does the organization have a process to obtain SBOMs for procured software components and dependencies, including requirements from third-party vendors to ensure license compliance?</t>
  </si>
  <si>
    <t xml:space="preserve">Adjacent to S3.3.1 (inbound/procurement BOM)</t>
  </si>
  <si>
    <t xml:space="preserve">Supporting practice (not an explicit ISO 5230 requirement)</t>
  </si>
  <si>
    <t xml:space="preserve">ISO 5230's BOM requirement is scoped to the supplied (outbound) software, not inbound procurement. This is good practice feeding S3.1.5 and S3.3.1 but is not itself a cited verification material, so weighted as supporting rather than core.</t>
  </si>
  <si>
    <t xml:space="preserve">Q20</t>
  </si>
  <si>
    <t xml:space="preserve">Is there a system in place for conducting Software Composition Analysis (SCA) for both the software products created and those used by the organization?</t>
  </si>
  <si>
    <t xml:space="preserve">Adjacent to S3.3.1/S3.3.2 (tooling)</t>
  </si>
  <si>
    <t xml:space="preserve">SCA is a common tool used to satisfy the BOM and license-obligation requirements but is not named or mandated by the standard itself, so it is the lowest-weighted item in this topic.</t>
  </si>
  <si>
    <t xml:space="preserve">Subtotal - 3. Bill of Materials &amp; Content Review</t>
  </si>
  <si>
    <t xml:space="preserve">Q21</t>
  </si>
  <si>
    <t xml:space="preserve">4. Compliance Artifact Creation &amp; Delivery</t>
  </si>
  <si>
    <t xml:space="preserve">Is there a documented procedure in place describing the process for ensuring that compliance artifacts are distributed along with the distributed software as required by the identified licenses?</t>
  </si>
  <si>
    <t xml:space="preserve">S3.4.1 Compliance Artifacts (VM 3.4.1.1)</t>
  </si>
  <si>
    <t xml:space="preserve">The primary Compliance Artifacts requirement - the documented process for preparing and delivering artifacts (notices, source, license copies) with the software as licenses require.</t>
  </si>
  <si>
    <t xml:space="preserve">Q22</t>
  </si>
  <si>
    <t xml:space="preserve">Is there a documented procedure in place for archiving copies of compliance artifacts for the distributed software?</t>
  </si>
  <si>
    <t xml:space="preserve">S3.4.1 Compliance Artifacts (VM 3.4.1.2)</t>
  </si>
  <si>
    <t xml:space="preserve">Matches the archiving half of VM 3.4.1.2 - the documented procedure for retaining compliance artifact copies for the required period.</t>
  </si>
  <si>
    <t xml:space="preserve">Q23</t>
  </si>
  <si>
    <t xml:space="preserve">Are the compliance artifacts archived for at least as long as the distributed software is offered, and as required by the identified licenses?</t>
  </si>
  <si>
    <t xml:space="preserve">S3.4.1 Compliance Artifacts (VM 3.4.1.2, duration detail)</t>
  </si>
  <si>
    <t xml:space="preserve">Tests the retention-duration detail within VM 3.4.1.2 rather than the existence of the archiving procedure itself, so scored as a supporting check on the question above.</t>
  </si>
  <si>
    <t xml:space="preserve">Subtotal - 4. Compliance Artifact Creation &amp; Delivery</t>
  </si>
  <si>
    <t xml:space="preserve">Q24</t>
  </si>
  <si>
    <t xml:space="preserve">5. Open Source Community Contributions</t>
  </si>
  <si>
    <t xml:space="preserve">Is there any open source contribution?</t>
  </si>
  <si>
    <t xml:space="preserve">S3.5.1 Contributions (applicability gate)</t>
  </si>
  <si>
    <t xml:space="preserve">Gate / Conditional trigger</t>
  </si>
  <si>
    <t xml:space="preserve">Marked as the Gate Question in the source file. Per the standard, S3.5.1 only applies 'if an organization considers contributions' - this single Yes/No answer determines whether the entire clause, and the next question, is in scope at all.</t>
  </si>
  <si>
    <t xml:space="preserve">Yes / No (Gate)</t>
  </si>
  <si>
    <t xml:space="preserve">Q25</t>
  </si>
  <si>
    <t xml:space="preserve">Is there a policy in place for contributing to open source projects on behalf of the organization?</t>
  </si>
  <si>
    <t xml:space="preserve">S3.5.1 Contributions (VM 3.5.1.1)</t>
  </si>
  <si>
    <t xml:space="preserve">Mandatory only if gate = Yes</t>
  </si>
  <si>
    <t xml:space="preserve">Matches VM 3.5.1.1 - a documented open source contribution policy. Weighted just under the gate question because it is entirely conditional on that answer.</t>
  </si>
  <si>
    <t xml:space="preserve">Subtotal - 5. Open Source Community Contributions</t>
  </si>
  <si>
    <t xml:space="preserve">Q26</t>
  </si>
  <si>
    <t xml:space="preserve">6. Conformance &amp; Adherence</t>
  </si>
  <si>
    <t xml:space="preserve">Is there documentation verifying that the program complies with all the requirements of ISO 5230:2020?</t>
  </si>
  <si>
    <t xml:space="preserve">S3.6.1 Conformance (VM 3.6.1.1)</t>
  </si>
  <si>
    <t xml:space="preserve">The ultimate roll-up requirement - an affirming document that ALL requirements of the standard (not a subset) are satisfied. It depends on every other topic being in place, hence the higher weight of the two conformance questions.</t>
  </si>
  <si>
    <t xml:space="preserve">Q27</t>
  </si>
  <si>
    <t xml:space="preserve">Is there a documented procedure confirming that the program's conformance was reviewed within the last 18 months?</t>
  </si>
  <si>
    <t xml:space="preserve">S3.6.2 Duration (VM 3.6.2.1)</t>
  </si>
  <si>
    <t xml:space="preserve">Matches the Duration requirement - conformance is only valid for 18 months and must be re-affirmed, preventing the program from going stale.</t>
  </si>
  <si>
    <t xml:space="preserve">Subtotal - 6. Conformance &amp; Adherence</t>
  </si>
  <si>
    <t xml:space="preserve">#</t>
  </si>
  <si>
    <t xml:space="preserve">Division / Topic</t>
  </si>
  <si>
    <t xml:space="preserve">Strategic Recommendation</t>
  </si>
  <si>
    <t xml:space="preserve">ISO 5230:2020 S3.1</t>
  </si>
  <si>
    <t xml:space="preserve">This division is the base layer the rest of the program depends on - sequence policy and role definition ahead of everything else, since a mature BOM or artifact-delivery process still fails an audit if there's no named owner or written policy behind it. Within this division, prioritize Policy and Roles/Responsibilities first: Awareness/Training and License Obligations naturally follow once those exist, but training people on a policy that doesn't exist, or assigning license-review responsibility to an undefined role, isn't achievable. Once Program Foundation controls reach at least Band 1-2 across the board, shift investment to Program Resourcing, since roles without staffing and funding remain theoretical.</t>
  </si>
  <si>
    <t xml:space="preserve">ISO 5230:2020 S3.2</t>
  </si>
  <si>
    <t xml:space="preserve">Where Program Foundation defines the program on paper, this division makes it operate day to day. Internal responsibility assignment and non-compliance remediation are the two highest-weighted controls here because they determine whether the program can actually respond when something goes wrong, not just when everything goes right - prioritize these over the external-access controls if resourcing is tight. The external-access controls (public contact, inquiry handling) are comparatively quick wins, often closed with a single email alias and a documented SLA, and are worth finishing early since they're the parts of the program visible to customers and partners performing due diligence.</t>
  </si>
  <si>
    <t xml:space="preserve">ISO 5230:2020 S3.3</t>
  </si>
  <si>
    <t xml:space="preserve">This division is the operational engine of the whole standard: nearly every other division either feeds the BOM procedure or consumes its output. Prioritize the identification/tracking procedure and its resulting inventory records - the two highest-weighted items here - before over-investing in verification tooling; a well-populated but unverified BOM is still more useful than a verification system with nothing reliable to verify. Once basic BOM discipline is in place, extend into inbound/vendor SBOM collection and SCA coverage, which push supply-chain visibility beyond what ISO 5230 strictly requires but align with where SBOM and xBOM regulatory guidance is heading.</t>
  </si>
  <si>
    <t xml:space="preserve">ISO 5230:2020 S3.4</t>
  </si>
  <si>
    <t xml:space="preserve">This division is where all the upstream work becomes tangible to customers - a mature BOM and license-review process is worth little if the resulting notices and source offers never actually reach the people who received your software. The artifact-distribution procedure carries the heaviest weight here deliberately, since it's the control most directly tied to real license compliance rather than internal process hygiene. Prioritize it over archiving mechanics if resourcing is limited, then close the archiving and retention-duration controls once distribution itself is reliable.</t>
  </si>
  <si>
    <t xml:space="preserve">ISO 5230:2020 S3.5</t>
  </si>
  <si>
    <t xml:space="preserve">This division is entirely conditional, and that conditionality should drive how it's resourced. If the gate question is 'No,' don't invest further here beyond periodically re-confirming the answer - effort is better spent on the other five divisions. If the gate is 'Yes,' treat the contribution-policy gap as urgent rather than optional: unmanaged contribution activity creates IP and licensing exposure the moment it happens, not on some future audit timeline.</t>
  </si>
  <si>
    <t xml:space="preserve">ISO 5230:2020 S3.6</t>
  </si>
  <si>
    <t xml:space="preserve">These two controls are best understood as the output of the other five divisions rather than an independent workstream - don't attempt the ISO 5230 conformance affirmation before Program Foundation through Compliance Artifacts are reasonably mature, since a premature affirmation is itself a compliance risk if it doesn't hold up under scrutiny. Once conformance is first achieved, the 18-month review cycle is the mechanism that keeps the whole program - and this workbook - a living assessment rather than a one-time snapshot, so build it into a recurring calendar process from day one.</t>
  </si>
  <si>
    <t xml:space="preserve"># Questions</t>
  </si>
  <si>
    <t xml:space="preserve">Total Weight (should = 1.00)</t>
  </si>
  <si>
    <t xml:space="preserve">Concept Description</t>
  </si>
  <si>
    <t xml:space="preserve">The written open source policy, defined roles/responsibilities, participant competence, awareness/training, program scope, and the process for reviewing license obligations. This is the base layer every other clause depends on.</t>
  </si>
  <si>
    <t xml:space="preserve">Making sure program roles are actually staffed, funded and accountable, that a remediation path exists for non-compliance, and that third parties have a public, working channel to raise compliance inquiries.</t>
  </si>
  <si>
    <t xml:space="preserve">Identifying, tracking and archiving the open source components (and their licenses) that make up distributed software, plus handling common license use-cases (binary/source distribution, modification, attribution, etc).</t>
  </si>
  <si>
    <t xml:space="preserve">Producing and delivering the compliance artifacts (notices, source offers, license copies, etc.) required by identified licenses, and archiving them for the required retention period.</t>
  </si>
  <si>
    <t xml:space="preserve">A conditional clause: only applies if the organization contributes to open source projects. If it does, a contribution policy, procedure and awareness process must exist.</t>
  </si>
  <si>
    <t xml:space="preserve">The formal affirmation that the program meets every requirement in the standard, and the 18-month cycle for re-confirming that conformance.</t>
  </si>
  <si>
    <t xml:space="preserve">TOTAL</t>
  </si>
  <si>
    <t xml:space="preserve">Note: each topic's weights are normalized to sum to 1.00 independently, reflecting relative priority WITHIN that topic (not across topics). Topic 5 (Contributions) is fully conditional on its gate question.</t>
  </si>
  <si>
    <t xml:space="preserve">Band / Answer</t>
  </si>
  <si>
    <t xml:space="preserve">Recommendation Text</t>
  </si>
  <si>
    <t xml:space="preserve">Lookup Key (hidden helper)</t>
  </si>
  <si>
    <t xml:space="preserve">Band 0</t>
  </si>
  <si>
    <t xml:space="preserve">This is a foundational gap worth closing first: draft a simple RACI identifying who owns policy authorship, component review and approval, license flagging, and remediation sign-off, and get it approved by a program sponsor. Every other control in the program lacks an accountable owner until this exists.</t>
  </si>
  <si>
    <t xml:space="preserve">Band 1-2</t>
  </si>
  <si>
    <t xml:space="preserve">Roles are defined but likely not yet embedded in day-to-day operations. Fold the RACI into each role holder's job description or objectives, and publish it somewhere program participants can actually find it (wiki, onboarding pack) so it survives personnel turnover.</t>
  </si>
  <si>
    <t xml:space="preserve">Band 3-5</t>
  </si>
  <si>
    <t xml:space="preserve">Roles and responsibilities are defined, documented and embedded. Add a periodic (e.g., annual) review to re-validate the RACI against org changes such as reorganizations or new product lines, and track role vacancy as a program KPI so gaps surface proactively rather than during an incident.</t>
  </si>
  <si>
    <t xml:space="preserve">No competency requirements exist per role yet. For each role in the RACI, write a short competency profile - for example, the SBOM reviewer should be able to read SPDX/CycloneDX output and interpret common license families. This becomes the basis for hiring, training and gap assessment.</t>
  </si>
  <si>
    <t xml:space="preserve">Competencies are defined for some or all roles but not yet formally tied to the program. Map each profile explicitly against the tasks that role performs in your actual workflow, and share it with people managers so it's used at hiring and review time rather than filed away.</t>
  </si>
  <si>
    <t xml:space="preserve">Competency requirements are defined and aligned. Introduce an annual self-assessment or skills matrix scored against these competencies, and use the aggregate result to prioritize training investment rather than treating competency definition as a one-time exercise.</t>
  </si>
  <si>
    <t xml:space="preserve">No evidence is currently kept of individual competence. Start a simple tracker capturing, per program participant, which OSS-compliance training they've completed and any relevant certifications (e.g., Linux Foundation LFC191/193/194) - this is the minimum evidence an auditor will ask for.</t>
  </si>
  <si>
    <t xml:space="preserve">Some documentation exists but is likely partial or inconsistently maintained. Consolidate it into a single system of record and assign an owner responsible for keeping it current whenever someone joins, changes role, or completes training.</t>
  </si>
  <si>
    <t xml:space="preserve">Competence evidence is documented and current. Tie the record to your role-competency profiles so gaps between required and held competence are visible at a glance, and feed that gap view into training budget planning.</t>
  </si>
  <si>
    <t xml:space="preserve">No written open source policy exists - this is the single highest-priority gap in the whole assessment. Draft a concise policy covering scope, permitted/prohibited license use, distribution rules and escalation paths, get sign-off from Legal and a business sponsor, and publish it before investing further downstream, since almost every other control assumes this policy already exists.</t>
  </si>
  <si>
    <t xml:space="preserve">A policy exists but the procedure for employees to actually follow it may be undocumented. Convert it into a short, practical 'how do I comply' guide rather than leaving it as a static legal document, and make it discoverable from wherever developers already work.</t>
  </si>
  <si>
    <t xml:space="preserve">A living policy and procedure exist. Version-control the policy, log the review date and owner within the document itself, and route it through a formal annual (or trigger-based) revision cycle so it doesn't quietly go stale.</t>
  </si>
  <si>
    <t xml:space="preserve">No written scope statement exists. Explicitly declare in writing what the program covers - a product line, a business unit, or the whole organization - since every conformance claim and every subsequent control is only meaningful relative to a defined scope.</t>
  </si>
  <si>
    <t xml:space="preserve">Scope is defined at a basic level but distribution rules may be incomplete. Extend the statement to explicitly list distribution channels in use (binary, source, SaaS, embedded/OEM), since each can trigger different obligations the policy should call out separately.</t>
  </si>
  <si>
    <t xml:space="preserve">Scope and distribution rules are well documented. Re-validate the scope statement whenever the organization launches a new product line, delivery model, or completes an acquisition - scope creep is the most common reason a previously-conformant program quietly falls out of alignment.</t>
  </si>
  <si>
    <t xml:space="preserve">No process exists to interpret what a license actually requires once a component is identified. Stand up a lightweight obligation-review step right after identification - even a simple table mapping common SPDX license IDs to obligations (attribution, copyleft, source offer, NOTICE file) - so identification work isn't wasted for lack of interpretation.</t>
  </si>
  <si>
    <t xml:space="preserve">A review process exists but may not be consistently applied or recorded. Require every review to produce a recorded outcome (approved / approved-with-conditions / rejected) attached to the component record, rather than a verbal Legal opinion that isn't captured anywhere.</t>
  </si>
  <si>
    <t xml:space="preserve">License obligations are reviewed and recorded systematically. Build a reusable obligation library so recurring licenses don't need re-review each time, reserving analyst effort for genuinely novel or ambiguous licenses.</t>
  </si>
  <si>
    <t xml:space="preserve">No training currently exists. Launch a baseline mandatory module (30-45 minutes covering what open source is, why license terms matter, and who to contact) targeted first at engineering and product roles - this is the fastest way to raise organization-wide awareness.</t>
  </si>
  <si>
    <t xml:space="preserve">Training exists but may not be mandatory, tracked, or role-specific. Make completion mandatory with a tracked deadline, tie it to onboarding and an annual refresher, and start differentiating depth by role.</t>
  </si>
  <si>
    <t xml:space="preserve">Training is mandatory and systematized. Add a short knowledge check to verify retention rather than just attendance, and refresh content whenever the policy or license landscape changes materially - a new AI/model license family becoming common, for instance.</t>
  </si>
  <si>
    <t xml:space="preserve">No process exists to determine what each role actually needs to know or do. Fold this into the RACI/competency work rather than treating it separately - for each role, document the inputs it consumes and outputs it's accountable for.</t>
  </si>
  <si>
    <t xml:space="preserve">A basic identification process exists. Formalize it as a short checklist used whenever a role is created or its scope changes, so requirements are captured consistently rather than reconstructed from memory each time.</t>
  </si>
  <si>
    <t xml:space="preserve">Role requirements are identified systematically. Periodically cross-check them against actual competency assessments to catch roles whose real-world demands have outgrown their original definition.</t>
  </si>
  <si>
    <t xml:space="preserve">No consolidated view exists of obligations layered on top of license terms - customer contract clauses, export control, CERT-In xBOM guidance, vendor terms. Create a single register capturing these alongside standard license obligations so reviewers aren't discovering conflicts late in a deal cycle.</t>
  </si>
  <si>
    <t xml:space="preserve">Some of this context is documented but likely scattered across contracts and informal knowledge. Centralize it into the same register used for license-obligation tracking, with Legal or Contracts as the owner responsible for feeding in new requirements as they arise.</t>
  </si>
  <si>
    <t xml:space="preserve">This context is documented and centralized. Link entries directly to the specific products/programs they apply to, so scope changes such as a new customer or market automatically surface which additional obligations now apply.</t>
  </si>
  <si>
    <t xml:space="preserve">No procedure exists for turning program roles into actual staffing decisions. Write a short procedure describing how someone is formally appointed into a compliance role - approval step, sign-off, effective date - since assessors look specifically for the assignment mechanism, not just the intended structure.</t>
  </si>
  <si>
    <t xml:space="preserve">A basic assignment procedure exists. Add a trigger for re-assignment (vacancy, reorg, leave of absence) so responsibility doesn't silently lapse when someone leaves the team - a common finding in program reviews.</t>
  </si>
  <si>
    <t xml:space="preserve">Assignment is procedural and reliable. Track assignment history over time so you can demonstrate continuity of coverage during an audit or customer due-diligence request, not just current-state staffing.</t>
  </si>
  <si>
    <t xml:space="preserve">No remediation path exists when a non-compliant component or license conflict is found - a high-priority gap. Define a minimum triage procedure now (who is notified, how severity is assessed, the escalation and sign-off path) even before it's fully mature, since an undefined remediation path is the scenario most likely to produce an uncontrolled release.</t>
  </si>
  <si>
    <t xml:space="preserve">A remediation procedure exists but is likely reactive and manual. Add severity tiers with corresponding SLAs, and make sure it explicitly covers both pre-release (block the release) and post-release (retroactive fix, customer notification) scenarios.</t>
  </si>
  <si>
    <t xml:space="preserve">Remediation is proceduralized. Start tracking metrics - time-to-resolution, recurrence rate by license type or component - and feed recurring patterns back into policy and training content so the same issue class stops resurfacing.</t>
  </si>
  <si>
    <t xml:space="preserve">No internal procedure exists for handling inbound compliance inquiries. Define a simple intake-to-response workflow - who triages, expected response time, a template acknowledgment - so an inquiry doesn't sit unanswered in a shared inbox; this is often the first thing checked in partner due diligence.</t>
  </si>
  <si>
    <t xml:space="preserve">A response procedure exists but may lack SLAs or ownership continuity. Set a target response time (e.g., five business days for acknowledgment) and name a backup owner so coverage doesn't depend on one person's availability.</t>
  </si>
  <si>
    <t xml:space="preserve">Inquiry handling is procedural and reliable. Log inquiry volume and themes over time - a rising trend around a specific product's SBOM, for instance, is an early signal worth feeding back into documentation improvements.</t>
  </si>
  <si>
    <t xml:space="preserve">No one is explicitly accountable for receiving inquiries. Name at least one individual, plus a backup, as the formal owner - even before the response procedure above is mature, a clear point of contact prevents inquiries from being ignored entirely.</t>
  </si>
  <si>
    <t xml:space="preserve">Ownership is assigned but perhaps informally. Document the assignment rather than relying on tribal knowledge, and tie it to a role or distribution list rather than a single named person so it survives personnel changes.</t>
  </si>
  <si>
    <t xml:space="preserve">Ownership is clearly and durably assigned. Periodically confirm the assigned contact is still monitored - a simple test inquiry once or twice a year - since a published contact quietly going stale is a common, embarrassing audit finding.</t>
  </si>
  <si>
    <t xml:space="preserve">Yes</t>
  </si>
  <si>
    <t xml:space="preserve">The contact is public, which satisfies the letter of this requirement. Confirm it's listed in more than one place - your website and the Linux Foundation's Open Compliance Directory, for example - so third parties using different discovery paths can still find it, and re-verify the listing is current at least annually.</t>
  </si>
  <si>
    <t xml:space="preserve">No</t>
  </si>
  <si>
    <t xml:space="preserve">No public contact exists, which is a direct and easily-fixed conformance gap. Publish a dedicated open-source compliance contact - a distribution email is simplest - on your website and register it with the Linux Foundation's Open Compliance Directory. This is one of the lowest-effort, highest-visibility fixes in the whole assessment.</t>
  </si>
  <si>
    <t xml:space="preserve">No documentation exists naming who actually supports each program role. Produce a simple staffing map (name or team against each role in the RACI) - the standard wants evidence roles are actually staffed, not just designed.</t>
  </si>
  <si>
    <t xml:space="preserve">Some documentation exists but may be incomplete or outdated. Keep this staffing map in the same location and update cadence as your assignment-procedure records so the two never drift out of sync.</t>
  </si>
  <si>
    <t xml:space="preserve">Staffing is documented and current. Cross-reference this record against the internal-responsibility-assignment procedure during your periodic program review, so any mismatch between who's assigned and who's actually resourced is caught early.</t>
  </si>
  <si>
    <t xml:space="preserve">No formal BOM procedure exists for distributed software - this is the operational core of the standard. Stand up a minimum-viable procedure now: identify components via SCA tooling or manual review, record them in a consistent format (SPDX or CycloneDX), and archive each release's BOM before investing further in artifact-delivery or verification controls, which depend entirely on this input existing.</t>
  </si>
  <si>
    <t xml:space="preserve">A BOM procedure exists but coverage or consistency may be incomplete. Standardize it so it runs the same way for every release rather than ad hoc per product team, and specify explicitly which SCA tool or generator produces the authoritative BOM - exactly the kind of consistency purpose-built tooling can enforce.</t>
  </si>
  <si>
    <t xml:space="preserve">The BOM procedure is documented and consistently followed. Add automated freshness checks - flagging any release whose BOM predates the last dependency change - so the procedure catches drift proactively rather than relying on manual diligence at release time.</t>
  </si>
  <si>
    <t xml:space="preserve">No inventory records exist as evidence. Start retaining the actual BOM output, not just the procedure describing how it should be produced, for each release - this evidence gap is one of the first things an assessor checks.</t>
  </si>
  <si>
    <t xml:space="preserve">Records exist for some releases but not systematically. Make BOM generation and archival a release-gate requirement rather than a best-effort practice, and back-fill records for currently-supported releases where feasible.</t>
  </si>
  <si>
    <t xml:space="preserve">Inventory records are consistently available. Make the inventory queryable across releases, not just per-release static files, so you can answer 'which products ship component X' in minutes - critical the next time a widely-used component discloses a new license or vulnerability issue.</t>
  </si>
  <si>
    <t xml:space="preserve">BOMs may be produced but nothing verifies their accuracy or completeness. Introduce a verification step - even a manual spot-check against a package manifest - before relying on the BOM for license decisions, since an unverified BOM creates false confidence downstream.</t>
  </si>
  <si>
    <t xml:space="preserve">Some verification happens but is likely manual and inconsistent. Cross-validate BOM output against a second detection method and formally record the cross-validation coverage rate rather than assuming agreement.</t>
  </si>
  <si>
    <t xml:space="preserve">BOM verification is systematized. Track detection-coverage and cross-validation metrics as a program KPI, and set a minimum acceptable coverage threshold below which a release is flagged for manual review before shipping.</t>
  </si>
  <si>
    <t xml:space="preserve">No process exists to obtain SBOMs from vendors or upstream suppliers. Add an SBOM-delivery clause to standard procurement contracts going forward, and start requesting SBOMs (SPDX or CycloneDX) from top-tier existing suppliers as a first pass - this closes a real supply-chain blind spot, even though it sits outside ISO 5230's strict outbound-only scope.</t>
  </si>
  <si>
    <t xml:space="preserve">A process exists but is applied inconsistently across vendors. Make SBOM delivery a standard procurement requirement rather than a case-by-case ask, and define a minimum acceptable format and completeness bar.</t>
  </si>
  <si>
    <t xml:space="preserve">Inbound SBOM collection is systematic. Feed collected vendor SBOMs into the same inventory system used for internally-developed components, giving one consolidated view of exposure across procured and self-built software.</t>
  </si>
  <si>
    <t xml:space="preserve">No SCA tooling or process exists. Adopt or extend an SCA capability covering both software you build and software you consume - the practical engine behind the BOM procedures above, and hard to scale manually beyond a handful of products.</t>
  </si>
  <si>
    <t xml:space="preserve">SCA exists but coverage may be partial - only created software, or only some product lines. Extend coverage to whichever side is missing, and standardize on a consistent detection methodology so results are comparable across products.</t>
  </si>
  <si>
    <t xml:space="preserve">SCA is systematized across created and used software. Periodically benchmark detection coverage against a second method - a manual audit or a different scanner - since no single tool has perfect detection and coverage gaps compound silently.</t>
  </si>
  <si>
    <t xml:space="preserve">No procedure exists to ensure artifacts (attribution notices, license copies, source offers) actually accompany the software. This is the highest-weighted control in the entire assessment because it's where license obligations become real, customer-facing deliverables - define at minimum a release checklist mapping each identified license to the specific artifact it requires, and confirm that artifact is packaged before the release ships.</t>
  </si>
  <si>
    <t xml:space="preserve">A process exists but may not run consistently across every release or product line. Automate what you can - auto-generating NOTICE files or attribution bundles from your BOM tooling - so artifact delivery isn't a manual step easily skipped under release-schedule pressure.</t>
  </si>
  <si>
    <t xml:space="preserve">Artifact delivery is procedural and consistent. Add a post-release audit sample - spot-checking a handful of shipped releases per quarter to confirm artifacts actually reached the customer - since generation and delivery are two separate failure points.</t>
  </si>
  <si>
    <t xml:space="preserve">No archiving procedure exists. Define where artifacts are stored, for how long, and who owns retrieval - this needs to exist before you can respond to license-obligation requests, such as a written source offer, that can arrive years after a release ships.</t>
  </si>
  <si>
    <t xml:space="preserve">Archiving happens but may be informal - scattered across individual release folders. Consolidate into a single, access-controlled archive with a consistent naming and retrieval convention tied to release version.</t>
  </si>
  <si>
    <t xml:space="preserve">Archiving is procedural and centralized. Set and document explicit retention periods per license family, since some obligations (GPL source offers, for example) carry specific minimum retention windows rather than a single blanket rule.</t>
  </si>
  <si>
    <t xml:space="preserve">Retention duration isn't tracked or guaranteed. Once the archiving procedure exists, set the retention clock to the longer of the software's offer/support lifecycle and the specific license's minimum requirement, and record that decision alongside the archive itself.</t>
  </si>
  <si>
    <t xml:space="preserve">Retention happens but duration compliance isn't actively verified. Add an expiry check to the archive system so records aren't deleted in a routine storage cleanup before their required retention period has actually elapsed.</t>
  </si>
  <si>
    <t xml:space="preserve">Retention duration is tracked and enforced. Periodically test retrieval of an older archived artifact set as part of your internal audit cycle, to confirm the archive is not just retained but actually recoverable when needed.</t>
  </si>
  <si>
    <t xml:space="preserve">Contribution activity exists, so the Community Contributions requirement fully applies to your program. Proceed to close the contribution-policy gap below, and make sure engineering managers know that new contribution activity should route through whatever approval process that policy establishes - unmanaged contribution is a real IP-leakage and licensing risk in its own right.</t>
  </si>
  <si>
    <t xml:space="preserve">No contribution activity currently exists, so the Community Contributions requirement is not currently applicable to your program - the contribution-policy question below can be marked N/A for conformance purposes. Revisit this answer at the same cadence as your 18-month conformance review rather than assuming it forever, since teams often begin contributing informally - a bug fix, a pull request - well before anyone flags it as organizational contribution activity.</t>
  </si>
  <si>
    <t xml:space="preserve">This is a genuine compliance gap, not just a documentation nicety, given the organization is actively contributing. Draft a policy covering what can be contributed, under what license, with what internal approval, and any IP/copyright assignment implications, and communicate it before contribution activity continues unmanaged.</t>
  </si>
  <si>
    <t xml:space="preserve">A policy exists but may not be consistently applied or well communicated. Pair it with a lightweight approval workflow - even a simple sign-off before a contribution is submitted upstream - so it's used in practice, not just referenced in principle.</t>
  </si>
  <si>
    <t xml:space="preserve">A contribution policy is in place and followed. Track contribution volume and which projects or licenses are involved as a light governance metric, since contribution patterns often shift as an organization's open source engagement matures.</t>
  </si>
  <si>
    <t xml:space="preserve">No formal affirmation exists yet. Treat this less as an isolated gap and more as a signal to re-check the underlying controls across the other five topics first; once they're in reasonable shape, draft the affirmation statement referencing the specific evidence - policies, procedures, records - that supports each of the standard's 13 core requirements.</t>
  </si>
  <si>
    <t xml:space="preserve">An affirmation may exist in draft or partial form. Make sure it explicitly maps to each of the 13 core requirements individually rather than offering a general statement of compliance - reviewers expect requirement-by-requirement traceability.</t>
  </si>
  <si>
    <t xml:space="preserve">A conformance affirmation is documented and current. Store it alongside the specific verification-material evidence it references, so the whole conformance package can be produced quickly if a customer or certification body requests it.</t>
  </si>
  <si>
    <t xml:space="preserve">No review cycle exists. Set a calendar-driven 18-month review process now with a named owner accountable for triggering it - this is a hard deadline in the standard, not a best-practice suggestion, so a missed cycle is a direct conformance lapse.</t>
  </si>
  <si>
    <t xml:space="preserve">A review happens but may not be consistently scheduled or documented. Formalize it into a recurring calendar entry with a defined checklist - essentially, re-running this assessment - rather than relying on someone remembering to initiate it.</t>
  </si>
  <si>
    <t xml:space="preserve">The 18-month review cycle is institutionalized. Use each cycle to trend maturity scores over time so you can demonstrate continuous improvement, not just repeated pass/fail conformance, to stakeholders.</t>
  </si>
  <si>
    <t xml:space="preserve">Clause</t>
  </si>
  <si>
    <t xml:space="preserve">Title</t>
  </si>
  <si>
    <t xml:space="preserve">What it requires (paraphrased)</t>
  </si>
  <si>
    <t xml:space="preserve"># Verification Materials</t>
  </si>
  <si>
    <t xml:space="preserve">Mandatory?</t>
  </si>
  <si>
    <t xml:space="preserve">S3.1.1</t>
  </si>
  <si>
    <t xml:space="preserve">Policy</t>
  </si>
  <si>
    <t xml:space="preserve">A written, internally-communicated open source policy must exist.</t>
  </si>
  <si>
    <t xml:space="preserve">S3.1.2</t>
  </si>
  <si>
    <t xml:space="preserve">Competence</t>
  </si>
  <si>
    <t xml:space="preserve">Roles/responsibilities defined; required competence identified per role; competence assessed and evidenced.</t>
  </si>
  <si>
    <t xml:space="preserve">S3.1.3</t>
  </si>
  <si>
    <t xml:space="preserve">Awareness</t>
  </si>
  <si>
    <t xml:space="preserve">Participants must be made aware of the policy, objectives, their role, and consequences of non-conformance.</t>
  </si>
  <si>
    <t xml:space="preserve">S3.1.4</t>
  </si>
  <si>
    <t xml:space="preserve">Program scope</t>
  </si>
  <si>
    <t xml:space="preserve">A written statement declares the scope and limits of the program (product line, department, or whole org).</t>
  </si>
  <si>
    <t xml:space="preserve">S3.1.5</t>
  </si>
  <si>
    <t xml:space="preserve">License obligations</t>
  </si>
  <si>
    <t xml:space="preserve">A process reviews identified licenses to determine obligations, restrictions and rights.</t>
  </si>
  <si>
    <t xml:space="preserve">S3.2.1</t>
  </si>
  <si>
    <t xml:space="preserve">Access</t>
  </si>
  <si>
    <t xml:space="preserve">A public channel exists for third parties to raise compliance inquiries, plus an internal response procedure.</t>
  </si>
  <si>
    <t xml:space="preserve">S3.2.2</t>
  </si>
  <si>
    <t xml:space="preserve">Effectively resourced</t>
  </si>
  <si>
    <t xml:space="preserve">Program roles are staffed, funded, given legal-expertise access, and have a non-compliance remediation path.</t>
  </si>
  <si>
    <t xml:space="preserve">S3.3.1</t>
  </si>
  <si>
    <t xml:space="preserve">Bill of materials</t>
  </si>
  <si>
    <t xml:space="preserve">A documented procedure identifies, tracks, reviews, approves and archives OSS components in supplied software; records prove it was followed.</t>
  </si>
  <si>
    <t xml:space="preserve">S3.3.2</t>
  </si>
  <si>
    <t xml:space="preserve">License compliance (use cases)</t>
  </si>
  <si>
    <t xml:space="preserve">The program can handle common license use-cases: binary/source distribution, modification, incompatible-license interaction, attribution, etc.</t>
  </si>
  <si>
    <t xml:space="preserve">S3.4.1</t>
  </si>
  <si>
    <t xml:space="preserve">Compliance artifacts</t>
  </si>
  <si>
    <t xml:space="preserve">Artifacts (notices, source, license copies) are prepared/delivered with the software, and archived for the required retention period.</t>
  </si>
  <si>
    <t xml:space="preserve">S3.5.1</t>
  </si>
  <si>
    <t xml:space="preserve">Contributions</t>
  </si>
  <si>
    <t xml:space="preserve">IF the organization contributes to open source, a written, communicated contribution policy and procedure must exist.</t>
  </si>
  <si>
    <t xml:space="preserve">Conditional - only if org contributes</t>
  </si>
  <si>
    <t xml:space="preserve">S3.6.1</t>
  </si>
  <si>
    <t xml:space="preserve">Conformance</t>
  </si>
  <si>
    <t xml:space="preserve">A document affirms the program satisfies ALL requirements of the standard (not a subset).</t>
  </si>
  <si>
    <t xml:space="preserve">S3.6.2</t>
  </si>
  <si>
    <t xml:space="preserve">Duration</t>
  </si>
  <si>
    <t xml:space="preserve">Conformance is valid for 18 months from validation and must be re-affirmed on that cycle.</t>
  </si>
  <si>
    <t xml:space="preserve">Source: ISO/IEC 5230:2020 'Information technology - OpenChain Specification' (13 core requirements, S3.1-S3.6). Paraphrased for internal reference; not a reproduction of the standard's text.</t>
  </si>
</sst>
</file>

<file path=xl/styles.xml><?xml version="1.0" encoding="utf-8"?>
<styleSheet xmlns="http://schemas.openxmlformats.org/spreadsheetml/2006/main">
  <numFmts count="3">
    <numFmt numFmtId="164" formatCode="General"/>
    <numFmt numFmtId="165" formatCode="0.00"/>
    <numFmt numFmtId="166"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b val="true"/>
      <sz val="12"/>
      <color rgb="FF1F3864"/>
      <name val="Arial"/>
      <family val="0"/>
      <charset val="1"/>
    </font>
    <font>
      <sz val="11"/>
      <color rgb="FF000000"/>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name val="Arial"/>
      <family val="0"/>
      <charset val="1"/>
    </font>
    <font>
      <sz val="9"/>
      <color rgb="FFA6A6A6"/>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D9E2F3"/>
        <bgColor rgb="FFE2EFDA"/>
      </patternFill>
    </fill>
    <fill>
      <patternFill patternType="solid">
        <fgColor rgb="FFFFF2CC"/>
        <bgColor rgb="FFE2EFDA"/>
      </patternFill>
    </fill>
    <fill>
      <patternFill patternType="solid">
        <fgColor rgb="FFFFFFFF"/>
        <bgColor rgb="FFFFF2CC"/>
      </patternFill>
    </fill>
    <fill>
      <patternFill patternType="solid">
        <fgColor rgb="FF375623"/>
        <bgColor rgb="FF595959"/>
      </patternFill>
    </fill>
    <fill>
      <patternFill patternType="solid">
        <fgColor rgb="FFE2EFDA"/>
        <bgColor rgb="FFD9E2F3"/>
      </patternFill>
    </fill>
    <fill>
      <patternFill patternType="solid">
        <fgColor rgb="FF7F7F7F"/>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5" fontId="11" fillId="3"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5" fontId="10" fillId="4"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5" fontId="11"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6" fontId="10" fillId="4"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9.7" hidden="false" customHeight="false" outlineLevel="0" collapsed="false">
      <c r="B2" s="1" t="s">
        <v>0</v>
      </c>
    </row>
    <row r="4" customFormat="false" ht="15" hidden="false" customHeight="false" outlineLevel="0" collapsed="false">
      <c r="B4" s="2" t="s">
        <v>1</v>
      </c>
    </row>
    <row r="7" customFormat="false" ht="15" hidden="false" customHeight="false" outlineLevel="0" collapsed="false">
      <c r="B7" s="3" t="s">
        <v>2</v>
      </c>
    </row>
    <row r="9" customFormat="false" ht="52.2" hidden="false" customHeight="false" outlineLevel="0" collapsed="false">
      <c r="B9" s="4" t="s">
        <v>3</v>
      </c>
    </row>
    <row r="11" customFormat="false" ht="15" hidden="false" customHeight="false" outlineLevel="0" collapsed="false">
      <c r="B11" s="3" t="s">
        <v>4</v>
      </c>
    </row>
    <row r="13" customFormat="false" ht="26.85" hidden="false" customHeight="false" outlineLevel="0" collapsed="false">
      <c r="B13" s="4" t="s">
        <v>5</v>
      </c>
    </row>
    <row r="15" customFormat="false" ht="26.85" hidden="false" customHeight="false" outlineLevel="0" collapsed="false">
      <c r="B15" s="4" t="s">
        <v>6</v>
      </c>
    </row>
    <row r="17" customFormat="false" ht="15" hidden="false" customHeight="false" outlineLevel="0" collapsed="false">
      <c r="B17" s="4" t="s">
        <v>7</v>
      </c>
    </row>
    <row r="19" customFormat="false" ht="26.85" hidden="false" customHeight="false" outlineLevel="0" collapsed="false">
      <c r="B19" s="4" t="s">
        <v>8</v>
      </c>
    </row>
    <row r="21" customFormat="false" ht="15" hidden="false" customHeight="false" outlineLevel="0" collapsed="false">
      <c r="B21" s="4" t="s">
        <v>9</v>
      </c>
    </row>
    <row r="23" customFormat="false" ht="15" hidden="false" customHeight="false" outlineLevel="0" collapsed="false">
      <c r="B23" s="3" t="s">
        <v>10</v>
      </c>
    </row>
    <row r="25" customFormat="false" ht="26.85" hidden="false" customHeight="false" outlineLevel="0" collapsed="false">
      <c r="B25" s="4" t="s">
        <v>11</v>
      </c>
    </row>
    <row r="27" customFormat="false" ht="15" hidden="false" customHeight="false" outlineLevel="0" collapsed="false">
      <c r="B27" s="4" t="s">
        <v>12</v>
      </c>
    </row>
    <row r="29" customFormat="false" ht="26.85" hidden="false" customHeight="false" outlineLevel="0" collapsed="false">
      <c r="B29" s="4" t="s">
        <v>13</v>
      </c>
    </row>
    <row r="31" customFormat="false" ht="39.55" hidden="false" customHeight="false" outlineLevel="0" collapsed="false">
      <c r="B31" s="4" t="s">
        <v>14</v>
      </c>
    </row>
    <row r="33" customFormat="false" ht="64.9" hidden="false" customHeight="false" outlineLevel="0" collapsed="false">
      <c r="B33" s="4" t="s">
        <v>15</v>
      </c>
    </row>
    <row r="35" customFormat="false" ht="15" hidden="false" customHeight="false" outlineLevel="0" collapsed="false">
      <c r="B35" s="3" t="s">
        <v>16</v>
      </c>
    </row>
    <row r="37" customFormat="false" ht="52.2" hidden="false" customHeight="false" outlineLevel="0" collapsed="false">
      <c r="B37" s="4" t="s">
        <v>17</v>
      </c>
    </row>
    <row r="39" customFormat="false" ht="15" hidden="false" customHeight="false" outlineLevel="0" collapsed="false">
      <c r="B39" s="3" t="s">
        <v>18</v>
      </c>
    </row>
    <row r="41" customFormat="false" ht="35.05" hidden="false" customHeight="false" outlineLevel="0" collapsed="false">
      <c r="B41"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8"/>
    <col collapsed="false" customWidth="true" hidden="false" outlineLevel="0" max="4" min="4" style="0" width="46"/>
    <col collapsed="false" customWidth="true" hidden="false" outlineLevel="0" max="5" min="5" style="0" width="22"/>
    <col collapsed="false" customWidth="true" hidden="false" outlineLevel="0" max="6" min="6" style="0" width="20"/>
    <col collapsed="false" customWidth="true" hidden="false" outlineLevel="0" max="7" min="7" style="0" width="8"/>
    <col collapsed="false" customWidth="true" hidden="false" outlineLevel="0" max="8" min="8" style="0" width="46"/>
    <col collapsed="false" customWidth="true" hidden="false" outlineLevel="0" max="9" min="9" style="0" width="16"/>
    <col collapsed="false" customWidth="true" hidden="false" outlineLevel="0" max="10" min="10" style="0" width="10"/>
    <col collapsed="false" customWidth="true" hidden="false" outlineLevel="0" max="11" min="11" style="0" width="12"/>
    <col collapsed="false" customWidth="true" hidden="false" outlineLevel="0" max="12" min="12"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row>
    <row r="2" customFormat="false" ht="57.45" hidden="false" customHeight="false" outlineLevel="0" collapsed="false">
      <c r="A2" s="7" t="s">
        <v>32</v>
      </c>
      <c r="B2" s="8" t="s">
        <v>33</v>
      </c>
      <c r="C2" s="9" t="n">
        <v>1</v>
      </c>
      <c r="D2" s="8" t="s">
        <v>34</v>
      </c>
      <c r="E2" s="9" t="s">
        <v>35</v>
      </c>
      <c r="F2" s="9" t="s">
        <v>36</v>
      </c>
      <c r="G2" s="10" t="n">
        <v>0.16</v>
      </c>
      <c r="H2" s="8" t="s">
        <v>37</v>
      </c>
      <c r="I2" s="9" t="s">
        <v>38</v>
      </c>
      <c r="J2" s="9"/>
      <c r="K2" s="11" t="str">
        <f aca="false">IF(J2="","",IF(J2=0,"Band 0",IF(J2&lt;=2,"Band 1-2","Band 3-5")))</f>
        <v/>
      </c>
      <c r="L2" s="12" t="str">
        <f aca="false">IF(K2="","Enter a score in column J to see a tailored recommendation.",IFERROR(INDEX('Recommendation Library'!$C:$C,MATCH($A2&amp;"|"&amp;K2,'Recommendation Library'!$D:$D,0)),"Recommendation not found - check the Recommendation Library tab."))</f>
        <v>Enter a score in column J to see a tailored recommendation.</v>
      </c>
    </row>
    <row r="3" customFormat="false" ht="35.05" hidden="false" customHeight="false" outlineLevel="0" collapsed="false">
      <c r="A3" s="7" t="s">
        <v>39</v>
      </c>
      <c r="B3" s="8" t="s">
        <v>33</v>
      </c>
      <c r="C3" s="9" t="n">
        <v>2</v>
      </c>
      <c r="D3" s="8" t="s">
        <v>40</v>
      </c>
      <c r="E3" s="9" t="s">
        <v>41</v>
      </c>
      <c r="F3" s="9" t="s">
        <v>36</v>
      </c>
      <c r="G3" s="10" t="n">
        <v>0.14</v>
      </c>
      <c r="H3" s="8" t="s">
        <v>42</v>
      </c>
      <c r="I3" s="9" t="s">
        <v>38</v>
      </c>
      <c r="J3" s="9"/>
      <c r="K3" s="11" t="str">
        <f aca="false">IF(J3="","",IF(J3=0,"Band 0",IF(J3&lt;=2,"Band 1-2","Band 3-5")))</f>
        <v/>
      </c>
      <c r="L3" s="12" t="str">
        <f aca="false">IF(K3="","Enter a score in column J to see a tailored recommendation.",IFERROR(INDEX('Recommendation Library'!$C:$C,MATCH($A3&amp;"|"&amp;K3,'Recommendation Library'!$D:$D,0)),"Recommendation not found - check the Recommendation Library tab."))</f>
        <v>Enter a score in column J to see a tailored recommendation.</v>
      </c>
    </row>
    <row r="4" customFormat="false" ht="46.25" hidden="false" customHeight="false" outlineLevel="0" collapsed="false">
      <c r="A4" s="7" t="s">
        <v>43</v>
      </c>
      <c r="B4" s="8" t="s">
        <v>33</v>
      </c>
      <c r="C4" s="9" t="n">
        <v>3</v>
      </c>
      <c r="D4" s="8" t="s">
        <v>44</v>
      </c>
      <c r="E4" s="9" t="s">
        <v>45</v>
      </c>
      <c r="F4" s="9" t="s">
        <v>36</v>
      </c>
      <c r="G4" s="10" t="n">
        <v>0.13</v>
      </c>
      <c r="H4" s="8" t="s">
        <v>46</v>
      </c>
      <c r="I4" s="9" t="s">
        <v>38</v>
      </c>
      <c r="J4" s="9"/>
      <c r="K4" s="11" t="str">
        <f aca="false">IF(J4="","",IF(J4=0,"Band 0",IF(J4&lt;=2,"Band 1-2","Band 3-5")))</f>
        <v/>
      </c>
      <c r="L4" s="12" t="str">
        <f aca="false">IF(K4="","Enter a score in column J to see a tailored recommendation.",IFERROR(INDEX('Recommendation Library'!$C:$C,MATCH($A4&amp;"|"&amp;K4,'Recommendation Library'!$D:$D,0)),"Recommendation not found - check the Recommendation Library tab."))</f>
        <v>Enter a score in column J to see a tailored recommendation.</v>
      </c>
    </row>
    <row r="5" customFormat="false" ht="46.25" hidden="false" customHeight="false" outlineLevel="0" collapsed="false">
      <c r="A5" s="7" t="s">
        <v>47</v>
      </c>
      <c r="B5" s="8" t="s">
        <v>33</v>
      </c>
      <c r="C5" s="9" t="n">
        <v>4</v>
      </c>
      <c r="D5" s="8" t="s">
        <v>48</v>
      </c>
      <c r="E5" s="9" t="s">
        <v>49</v>
      </c>
      <c r="F5" s="9" t="s">
        <v>36</v>
      </c>
      <c r="G5" s="10" t="n">
        <v>0.13</v>
      </c>
      <c r="H5" s="8" t="s">
        <v>50</v>
      </c>
      <c r="I5" s="9" t="s">
        <v>38</v>
      </c>
      <c r="J5" s="9"/>
      <c r="K5" s="11" t="str">
        <f aca="false">IF(J5="","",IF(J5=0,"Band 0",IF(J5&lt;=2,"Band 1-2","Band 3-5")))</f>
        <v/>
      </c>
      <c r="L5" s="12" t="str">
        <f aca="false">IF(K5="","Enter a score in column J to see a tailored recommendation.",IFERROR(INDEX('Recommendation Library'!$C:$C,MATCH($A5&amp;"|"&amp;K5,'Recommendation Library'!$D:$D,0)),"Recommendation not found - check the Recommendation Library tab."))</f>
        <v>Enter a score in column J to see a tailored recommendation.</v>
      </c>
    </row>
    <row r="6" customFormat="false" ht="46.25" hidden="false" customHeight="false" outlineLevel="0" collapsed="false">
      <c r="A6" s="7" t="s">
        <v>51</v>
      </c>
      <c r="B6" s="8" t="s">
        <v>33</v>
      </c>
      <c r="C6" s="9" t="n">
        <v>5</v>
      </c>
      <c r="D6" s="8" t="s">
        <v>52</v>
      </c>
      <c r="E6" s="9" t="s">
        <v>53</v>
      </c>
      <c r="F6" s="9" t="s">
        <v>36</v>
      </c>
      <c r="G6" s="10" t="n">
        <v>0.12</v>
      </c>
      <c r="H6" s="8" t="s">
        <v>54</v>
      </c>
      <c r="I6" s="9" t="s">
        <v>38</v>
      </c>
      <c r="J6" s="9"/>
      <c r="K6" s="11" t="str">
        <f aca="false">IF(J6="","",IF(J6=0,"Band 0",IF(J6&lt;=2,"Band 1-2","Band 3-5")))</f>
        <v/>
      </c>
      <c r="L6" s="12" t="str">
        <f aca="false">IF(K6="","Enter a score in column J to see a tailored recommendation.",IFERROR(INDEX('Recommendation Library'!$C:$C,MATCH($A6&amp;"|"&amp;K6,'Recommendation Library'!$D:$D,0)),"Recommendation not found - check the Recommendation Library tab."))</f>
        <v>Enter a score in column J to see a tailored recommendation.</v>
      </c>
    </row>
    <row r="7" customFormat="false" ht="46.25" hidden="false" customHeight="false" outlineLevel="0" collapsed="false">
      <c r="A7" s="7" t="s">
        <v>55</v>
      </c>
      <c r="B7" s="8" t="s">
        <v>33</v>
      </c>
      <c r="C7" s="9" t="n">
        <v>6</v>
      </c>
      <c r="D7" s="8" t="s">
        <v>56</v>
      </c>
      <c r="E7" s="9" t="s">
        <v>57</v>
      </c>
      <c r="F7" s="9" t="s">
        <v>36</v>
      </c>
      <c r="G7" s="10" t="n">
        <v>0.11</v>
      </c>
      <c r="H7" s="8" t="s">
        <v>58</v>
      </c>
      <c r="I7" s="9" t="s">
        <v>38</v>
      </c>
      <c r="J7" s="9"/>
      <c r="K7" s="11" t="str">
        <f aca="false">IF(J7="","",IF(J7=0,"Band 0",IF(J7&lt;=2,"Band 1-2","Band 3-5")))</f>
        <v/>
      </c>
      <c r="L7" s="12" t="str">
        <f aca="false">IF(K7="","Enter a score in column J to see a tailored recommendation.",IFERROR(INDEX('Recommendation Library'!$C:$C,MATCH($A7&amp;"|"&amp;K7,'Recommendation Library'!$D:$D,0)),"Recommendation not found - check the Recommendation Library tab."))</f>
        <v>Enter a score in column J to see a tailored recommendation.</v>
      </c>
    </row>
    <row r="8" customFormat="false" ht="46.25" hidden="false" customHeight="false" outlineLevel="0" collapsed="false">
      <c r="A8" s="7" t="s">
        <v>59</v>
      </c>
      <c r="B8" s="8" t="s">
        <v>33</v>
      </c>
      <c r="C8" s="9" t="n">
        <v>7</v>
      </c>
      <c r="D8" s="8" t="s">
        <v>60</v>
      </c>
      <c r="E8" s="9" t="s">
        <v>61</v>
      </c>
      <c r="F8" s="9" t="s">
        <v>36</v>
      </c>
      <c r="G8" s="10" t="n">
        <v>0.1</v>
      </c>
      <c r="H8" s="8" t="s">
        <v>62</v>
      </c>
      <c r="I8" s="9" t="s">
        <v>38</v>
      </c>
      <c r="J8" s="9"/>
      <c r="K8" s="11" t="str">
        <f aca="false">IF(J8="","",IF(J8=0,"Band 0",IF(J8&lt;=2,"Band 1-2","Band 3-5")))</f>
        <v/>
      </c>
      <c r="L8" s="12" t="str">
        <f aca="false">IF(K8="","Enter a score in column J to see a tailored recommendation.",IFERROR(INDEX('Recommendation Library'!$C:$C,MATCH($A8&amp;"|"&amp;K8,'Recommendation Library'!$D:$D,0)),"Recommendation not found - check the Recommendation Library tab."))</f>
        <v>Enter a score in column J to see a tailored recommendation.</v>
      </c>
    </row>
    <row r="9" customFormat="false" ht="46.25" hidden="false" customHeight="false" outlineLevel="0" collapsed="false">
      <c r="A9" s="7" t="s">
        <v>63</v>
      </c>
      <c r="B9" s="8" t="s">
        <v>33</v>
      </c>
      <c r="C9" s="9" t="n">
        <v>8</v>
      </c>
      <c r="D9" s="8" t="s">
        <v>64</v>
      </c>
      <c r="E9" s="9" t="s">
        <v>65</v>
      </c>
      <c r="F9" s="9" t="s">
        <v>36</v>
      </c>
      <c r="G9" s="10" t="n">
        <v>0.06</v>
      </c>
      <c r="H9" s="8" t="s">
        <v>66</v>
      </c>
      <c r="I9" s="9" t="s">
        <v>38</v>
      </c>
      <c r="J9" s="9"/>
      <c r="K9" s="11" t="str">
        <f aca="false">IF(J9="","",IF(J9=0,"Band 0",IF(J9&lt;=2,"Band 1-2","Band 3-5")))</f>
        <v/>
      </c>
      <c r="L9" s="12" t="str">
        <f aca="false">IF(K9="","Enter a score in column J to see a tailored recommendation.",IFERROR(INDEX('Recommendation Library'!$C:$C,MATCH($A9&amp;"|"&amp;K9,'Recommendation Library'!$D:$D,0)),"Recommendation not found - check the Recommendation Library tab."))</f>
        <v>Enter a score in column J to see a tailored recommendation.</v>
      </c>
    </row>
    <row r="10" customFormat="false" ht="46.25" hidden="false" customHeight="false" outlineLevel="0" collapsed="false">
      <c r="A10" s="7" t="s">
        <v>67</v>
      </c>
      <c r="B10" s="8" t="s">
        <v>33</v>
      </c>
      <c r="C10" s="9" t="n">
        <v>9</v>
      </c>
      <c r="D10" s="8" t="s">
        <v>68</v>
      </c>
      <c r="E10" s="9" t="s">
        <v>69</v>
      </c>
      <c r="F10" s="9" t="s">
        <v>70</v>
      </c>
      <c r="G10" s="10" t="n">
        <v>0.05</v>
      </c>
      <c r="H10" s="8" t="s">
        <v>71</v>
      </c>
      <c r="I10" s="9" t="s">
        <v>38</v>
      </c>
      <c r="J10" s="9"/>
      <c r="K10" s="11" t="str">
        <f aca="false">IF(J10="","",IF(J10=0,"Band 0",IF(J10&lt;=2,"Band 1-2","Band 3-5")))</f>
        <v/>
      </c>
      <c r="L10" s="12" t="str">
        <f aca="false">IF(K10="","Enter a score in column J to see a tailored recommendation.",IFERROR(INDEX('Recommendation Library'!$C:$C,MATCH($A10&amp;"|"&amp;K10,'Recommendation Library'!$D:$D,0)),"Recommendation not found - check the Recommendation Library tab."))</f>
        <v>Enter a score in column J to see a tailored recommendation.</v>
      </c>
    </row>
    <row r="11" customFormat="false" ht="15" hidden="false" customHeight="true" outlineLevel="0" collapsed="false">
      <c r="A11" s="13" t="s">
        <v>72</v>
      </c>
      <c r="B11" s="13"/>
      <c r="C11" s="13"/>
      <c r="D11" s="13"/>
      <c r="E11" s="13"/>
      <c r="F11" s="13"/>
      <c r="G11" s="14" t="n">
        <f aca="false">SUM(G2:G10)</f>
        <v>1</v>
      </c>
      <c r="H11" s="13"/>
      <c r="I11" s="13"/>
      <c r="J11" s="13"/>
      <c r="K11" s="13"/>
      <c r="L11" s="13"/>
    </row>
    <row r="12" customFormat="false" ht="46.25" hidden="false" customHeight="false" outlineLevel="0" collapsed="false">
      <c r="A12" s="15" t="s">
        <v>73</v>
      </c>
      <c r="B12" s="16" t="s">
        <v>74</v>
      </c>
      <c r="C12" s="17" t="n">
        <v>1</v>
      </c>
      <c r="D12" s="16" t="s">
        <v>75</v>
      </c>
      <c r="E12" s="17" t="s">
        <v>76</v>
      </c>
      <c r="F12" s="17" t="s">
        <v>36</v>
      </c>
      <c r="G12" s="18" t="n">
        <v>0.2</v>
      </c>
      <c r="H12" s="16" t="s">
        <v>77</v>
      </c>
      <c r="I12" s="17" t="s">
        <v>38</v>
      </c>
      <c r="J12" s="17"/>
      <c r="K12" s="11" t="str">
        <f aca="false">IF(J12="","",IF(J12=0,"Band 0",IF(J12&lt;=2,"Band 1-2","Band 3-5")))</f>
        <v/>
      </c>
      <c r="L12" s="12" t="str">
        <f aca="false">IF(K12="","Enter a score in column J to see a tailored recommendation.",IFERROR(INDEX('Recommendation Library'!$C:$C,MATCH($A12&amp;"|"&amp;K12,'Recommendation Library'!$D:$D,0)),"Recommendation not found - check the Recommendation Library tab."))</f>
        <v>Enter a score in column J to see a tailored recommendation.</v>
      </c>
    </row>
    <row r="13" customFormat="false" ht="46.25" hidden="false" customHeight="false" outlineLevel="0" collapsed="false">
      <c r="A13" s="15" t="s">
        <v>78</v>
      </c>
      <c r="B13" s="16" t="s">
        <v>74</v>
      </c>
      <c r="C13" s="17" t="n">
        <v>2</v>
      </c>
      <c r="D13" s="16" t="s">
        <v>79</v>
      </c>
      <c r="E13" s="17" t="s">
        <v>80</v>
      </c>
      <c r="F13" s="17" t="s">
        <v>36</v>
      </c>
      <c r="G13" s="18" t="n">
        <v>0.2</v>
      </c>
      <c r="H13" s="16" t="s">
        <v>81</v>
      </c>
      <c r="I13" s="17" t="s">
        <v>38</v>
      </c>
      <c r="J13" s="17"/>
      <c r="K13" s="11" t="str">
        <f aca="false">IF(J13="","",IF(J13=0,"Band 0",IF(J13&lt;=2,"Band 1-2","Band 3-5")))</f>
        <v/>
      </c>
      <c r="L13" s="12" t="str">
        <f aca="false">IF(K13="","Enter a score in column J to see a tailored recommendation.",IFERROR(INDEX('Recommendation Library'!$C:$C,MATCH($A13&amp;"|"&amp;K13,'Recommendation Library'!$D:$D,0)),"Recommendation not found - check the Recommendation Library tab."))</f>
        <v>Enter a score in column J to see a tailored recommendation.</v>
      </c>
    </row>
    <row r="14" customFormat="false" ht="35.05" hidden="false" customHeight="false" outlineLevel="0" collapsed="false">
      <c r="A14" s="15" t="s">
        <v>82</v>
      </c>
      <c r="B14" s="16" t="s">
        <v>74</v>
      </c>
      <c r="C14" s="17" t="n">
        <v>3</v>
      </c>
      <c r="D14" s="16" t="s">
        <v>83</v>
      </c>
      <c r="E14" s="17" t="s">
        <v>84</v>
      </c>
      <c r="F14" s="17" t="s">
        <v>36</v>
      </c>
      <c r="G14" s="18" t="n">
        <v>0.17</v>
      </c>
      <c r="H14" s="16" t="s">
        <v>85</v>
      </c>
      <c r="I14" s="17" t="s">
        <v>38</v>
      </c>
      <c r="J14" s="17"/>
      <c r="K14" s="11" t="str">
        <f aca="false">IF(J14="","",IF(J14=0,"Band 0",IF(J14&lt;=2,"Band 1-2","Band 3-5")))</f>
        <v/>
      </c>
      <c r="L14" s="12" t="str">
        <f aca="false">IF(K14="","Enter a score in column J to see a tailored recommendation.",IFERROR(INDEX('Recommendation Library'!$C:$C,MATCH($A14&amp;"|"&amp;K14,'Recommendation Library'!$D:$D,0)),"Recommendation not found - check the Recommendation Library tab."))</f>
        <v>Enter a score in column J to see a tailored recommendation.</v>
      </c>
    </row>
    <row r="15" customFormat="false" ht="35.05" hidden="false" customHeight="false" outlineLevel="0" collapsed="false">
      <c r="A15" s="15" t="s">
        <v>86</v>
      </c>
      <c r="B15" s="16" t="s">
        <v>74</v>
      </c>
      <c r="C15" s="17" t="n">
        <v>4</v>
      </c>
      <c r="D15" s="16" t="s">
        <v>87</v>
      </c>
      <c r="E15" s="17" t="s">
        <v>88</v>
      </c>
      <c r="F15" s="17" t="s">
        <v>36</v>
      </c>
      <c r="G15" s="18" t="n">
        <v>0.15</v>
      </c>
      <c r="H15" s="16" t="s">
        <v>89</v>
      </c>
      <c r="I15" s="17" t="s">
        <v>38</v>
      </c>
      <c r="J15" s="17"/>
      <c r="K15" s="11" t="str">
        <f aca="false">IF(J15="","",IF(J15=0,"Band 0",IF(J15&lt;=2,"Band 1-2","Band 3-5")))</f>
        <v/>
      </c>
      <c r="L15" s="12" t="str">
        <f aca="false">IF(K15="","Enter a score in column J to see a tailored recommendation.",IFERROR(INDEX('Recommendation Library'!$C:$C,MATCH($A15&amp;"|"&amp;K15,'Recommendation Library'!$D:$D,0)),"Recommendation not found - check the Recommendation Library tab."))</f>
        <v>Enter a score in column J to see a tailored recommendation.</v>
      </c>
    </row>
    <row r="16" customFormat="false" ht="46.25" hidden="false" customHeight="false" outlineLevel="0" collapsed="false">
      <c r="A16" s="15" t="s">
        <v>90</v>
      </c>
      <c r="B16" s="16" t="s">
        <v>74</v>
      </c>
      <c r="C16" s="17" t="n">
        <v>5</v>
      </c>
      <c r="D16" s="16" t="s">
        <v>91</v>
      </c>
      <c r="E16" s="17" t="s">
        <v>92</v>
      </c>
      <c r="F16" s="17" t="s">
        <v>36</v>
      </c>
      <c r="G16" s="18" t="n">
        <v>0.15</v>
      </c>
      <c r="H16" s="16" t="s">
        <v>93</v>
      </c>
      <c r="I16" s="17" t="s">
        <v>94</v>
      </c>
      <c r="J16" s="17"/>
      <c r="K16" s="11" t="str">
        <f aca="false">IF(J16="","",J16)</f>
        <v/>
      </c>
      <c r="L16" s="12" t="str">
        <f aca="false">IF(K16="","Enter a score in column J to see a tailored recommendation.",IFERROR(INDEX('Recommendation Library'!$C:$C,MATCH($A16&amp;"|"&amp;K16,'Recommendation Library'!$D:$D,0)),"Recommendation not found - check the Recommendation Library tab."))</f>
        <v>Enter a score in column J to see a tailored recommendation.</v>
      </c>
    </row>
    <row r="17" customFormat="false" ht="57.45" hidden="false" customHeight="false" outlineLevel="0" collapsed="false">
      <c r="A17" s="15" t="s">
        <v>95</v>
      </c>
      <c r="B17" s="16" t="s">
        <v>74</v>
      </c>
      <c r="C17" s="17" t="n">
        <v>6</v>
      </c>
      <c r="D17" s="16" t="s">
        <v>96</v>
      </c>
      <c r="E17" s="17" t="s">
        <v>97</v>
      </c>
      <c r="F17" s="17" t="s">
        <v>36</v>
      </c>
      <c r="G17" s="18" t="n">
        <v>0.13</v>
      </c>
      <c r="H17" s="16" t="s">
        <v>98</v>
      </c>
      <c r="I17" s="17" t="s">
        <v>38</v>
      </c>
      <c r="J17" s="17"/>
      <c r="K17" s="11" t="str">
        <f aca="false">IF(J17="","",IF(J17=0,"Band 0",IF(J17&lt;=2,"Band 1-2","Band 3-5")))</f>
        <v/>
      </c>
      <c r="L17" s="12" t="str">
        <f aca="false">IF(K17="","Enter a score in column J to see a tailored recommendation.",IFERROR(INDEX('Recommendation Library'!$C:$C,MATCH($A17&amp;"|"&amp;K17,'Recommendation Library'!$D:$D,0)),"Recommendation not found - check the Recommendation Library tab."))</f>
        <v>Enter a score in column J to see a tailored recommendation.</v>
      </c>
    </row>
    <row r="18" customFormat="false" ht="15" hidden="false" customHeight="true" outlineLevel="0" collapsed="false">
      <c r="A18" s="13" t="s">
        <v>99</v>
      </c>
      <c r="B18" s="13"/>
      <c r="C18" s="13"/>
      <c r="D18" s="13"/>
      <c r="E18" s="13"/>
      <c r="F18" s="13"/>
      <c r="G18" s="14" t="n">
        <f aca="false">SUM(G12:G17)</f>
        <v>1</v>
      </c>
      <c r="H18" s="13"/>
      <c r="I18" s="13"/>
      <c r="J18" s="13"/>
      <c r="K18" s="13"/>
      <c r="L18" s="13"/>
    </row>
    <row r="19" customFormat="false" ht="46.25" hidden="false" customHeight="false" outlineLevel="0" collapsed="false">
      <c r="A19" s="7" t="s">
        <v>100</v>
      </c>
      <c r="B19" s="8" t="s">
        <v>101</v>
      </c>
      <c r="C19" s="9" t="n">
        <v>1</v>
      </c>
      <c r="D19" s="8" t="s">
        <v>102</v>
      </c>
      <c r="E19" s="9" t="s">
        <v>103</v>
      </c>
      <c r="F19" s="9" t="s">
        <v>36</v>
      </c>
      <c r="G19" s="10" t="n">
        <v>0.28</v>
      </c>
      <c r="H19" s="8" t="s">
        <v>104</v>
      </c>
      <c r="I19" s="9" t="s">
        <v>38</v>
      </c>
      <c r="J19" s="9"/>
      <c r="K19" s="11" t="str">
        <f aca="false">IF(J19="","",IF(J19=0,"Band 0",IF(J19&lt;=2,"Band 1-2","Band 3-5")))</f>
        <v/>
      </c>
      <c r="L19" s="12" t="str">
        <f aca="false">IF(K19="","Enter a score in column J to see a tailored recommendation.",IFERROR(INDEX('Recommendation Library'!$C:$C,MATCH($A19&amp;"|"&amp;K19,'Recommendation Library'!$D:$D,0)),"Recommendation not found - check the Recommendation Library tab."))</f>
        <v>Enter a score in column J to see a tailored recommendation.</v>
      </c>
    </row>
    <row r="20" customFormat="false" ht="35.05" hidden="false" customHeight="false" outlineLevel="0" collapsed="false">
      <c r="A20" s="7" t="s">
        <v>105</v>
      </c>
      <c r="B20" s="8" t="s">
        <v>101</v>
      </c>
      <c r="C20" s="9" t="n">
        <v>2</v>
      </c>
      <c r="D20" s="8" t="s">
        <v>106</v>
      </c>
      <c r="E20" s="9" t="s">
        <v>107</v>
      </c>
      <c r="F20" s="9" t="s">
        <v>36</v>
      </c>
      <c r="G20" s="10" t="n">
        <v>0.24</v>
      </c>
      <c r="H20" s="8" t="s">
        <v>108</v>
      </c>
      <c r="I20" s="9" t="s">
        <v>38</v>
      </c>
      <c r="J20" s="9"/>
      <c r="K20" s="11" t="str">
        <f aca="false">IF(J20="","",IF(J20=0,"Band 0",IF(J20&lt;=2,"Band 1-2","Band 3-5")))</f>
        <v/>
      </c>
      <c r="L20" s="12" t="str">
        <f aca="false">IF(K20="","Enter a score in column J to see a tailored recommendation.",IFERROR(INDEX('Recommendation Library'!$C:$C,MATCH($A20&amp;"|"&amp;K20,'Recommendation Library'!$D:$D,0)),"Recommendation not found - check the Recommendation Library tab."))</f>
        <v>Enter a score in column J to see a tailored recommendation.</v>
      </c>
    </row>
    <row r="21" customFormat="false" ht="46.25" hidden="false" customHeight="false" outlineLevel="0" collapsed="false">
      <c r="A21" s="7" t="s">
        <v>109</v>
      </c>
      <c r="B21" s="8" t="s">
        <v>101</v>
      </c>
      <c r="C21" s="9" t="n">
        <v>3</v>
      </c>
      <c r="D21" s="8" t="s">
        <v>110</v>
      </c>
      <c r="E21" s="9" t="s">
        <v>111</v>
      </c>
      <c r="F21" s="9" t="s">
        <v>36</v>
      </c>
      <c r="G21" s="10" t="n">
        <v>0.2</v>
      </c>
      <c r="H21" s="8" t="s">
        <v>112</v>
      </c>
      <c r="I21" s="9" t="s">
        <v>38</v>
      </c>
      <c r="J21" s="9"/>
      <c r="K21" s="11" t="str">
        <f aca="false">IF(J21="","",IF(J21=0,"Band 0",IF(J21&lt;=2,"Band 1-2","Band 3-5")))</f>
        <v/>
      </c>
      <c r="L21" s="12" t="str">
        <f aca="false">IF(K21="","Enter a score in column J to see a tailored recommendation.",IFERROR(INDEX('Recommendation Library'!$C:$C,MATCH($A21&amp;"|"&amp;K21,'Recommendation Library'!$D:$D,0)),"Recommendation not found - check the Recommendation Library tab."))</f>
        <v>Enter a score in column J to see a tailored recommendation.</v>
      </c>
    </row>
    <row r="22" customFormat="false" ht="57.45" hidden="false" customHeight="false" outlineLevel="0" collapsed="false">
      <c r="A22" s="7" t="s">
        <v>113</v>
      </c>
      <c r="B22" s="8" t="s">
        <v>101</v>
      </c>
      <c r="C22" s="9" t="n">
        <v>4</v>
      </c>
      <c r="D22" s="8" t="s">
        <v>114</v>
      </c>
      <c r="E22" s="9" t="s">
        <v>115</v>
      </c>
      <c r="F22" s="9" t="s">
        <v>116</v>
      </c>
      <c r="G22" s="10" t="n">
        <v>0.16</v>
      </c>
      <c r="H22" s="8" t="s">
        <v>117</v>
      </c>
      <c r="I22" s="9" t="s">
        <v>38</v>
      </c>
      <c r="J22" s="9"/>
      <c r="K22" s="11" t="str">
        <f aca="false">IF(J22="","",IF(J22=0,"Band 0",IF(J22&lt;=2,"Band 1-2","Band 3-5")))</f>
        <v/>
      </c>
      <c r="L22" s="12" t="str">
        <f aca="false">IF(K22="","Enter a score in column J to see a tailored recommendation.",IFERROR(INDEX('Recommendation Library'!$C:$C,MATCH($A22&amp;"|"&amp;K22,'Recommendation Library'!$D:$D,0)),"Recommendation not found - check the Recommendation Library tab."))</f>
        <v>Enter a score in column J to see a tailored recommendation.</v>
      </c>
    </row>
    <row r="23" customFormat="false" ht="46.25" hidden="false" customHeight="false" outlineLevel="0" collapsed="false">
      <c r="A23" s="7" t="s">
        <v>118</v>
      </c>
      <c r="B23" s="8" t="s">
        <v>101</v>
      </c>
      <c r="C23" s="9" t="n">
        <v>5</v>
      </c>
      <c r="D23" s="8" t="s">
        <v>119</v>
      </c>
      <c r="E23" s="9" t="s">
        <v>120</v>
      </c>
      <c r="F23" s="9" t="s">
        <v>116</v>
      </c>
      <c r="G23" s="10" t="n">
        <v>0.12</v>
      </c>
      <c r="H23" s="8" t="s">
        <v>121</v>
      </c>
      <c r="I23" s="9" t="s">
        <v>38</v>
      </c>
      <c r="J23" s="9"/>
      <c r="K23" s="11" t="str">
        <f aca="false">IF(J23="","",IF(J23=0,"Band 0",IF(J23&lt;=2,"Band 1-2","Band 3-5")))</f>
        <v/>
      </c>
      <c r="L23" s="12" t="str">
        <f aca="false">IF(K23="","Enter a score in column J to see a tailored recommendation.",IFERROR(INDEX('Recommendation Library'!$C:$C,MATCH($A23&amp;"|"&amp;K23,'Recommendation Library'!$D:$D,0)),"Recommendation not found - check the Recommendation Library tab."))</f>
        <v>Enter a score in column J to see a tailored recommendation.</v>
      </c>
    </row>
    <row r="24" customFormat="false" ht="15" hidden="false" customHeight="true" outlineLevel="0" collapsed="false">
      <c r="A24" s="13" t="s">
        <v>122</v>
      </c>
      <c r="B24" s="13"/>
      <c r="C24" s="13"/>
      <c r="D24" s="13"/>
      <c r="E24" s="13"/>
      <c r="F24" s="13"/>
      <c r="G24" s="14" t="n">
        <f aca="false">SUM(G19:G23)</f>
        <v>1</v>
      </c>
      <c r="H24" s="13"/>
      <c r="I24" s="13"/>
      <c r="J24" s="13"/>
      <c r="K24" s="13"/>
      <c r="L24" s="13"/>
    </row>
    <row r="25" customFormat="false" ht="46.25" hidden="false" customHeight="false" outlineLevel="0" collapsed="false">
      <c r="A25" s="15" t="s">
        <v>123</v>
      </c>
      <c r="B25" s="16" t="s">
        <v>124</v>
      </c>
      <c r="C25" s="17" t="n">
        <v>1</v>
      </c>
      <c r="D25" s="16" t="s">
        <v>125</v>
      </c>
      <c r="E25" s="17" t="s">
        <v>126</v>
      </c>
      <c r="F25" s="17" t="s">
        <v>36</v>
      </c>
      <c r="G25" s="18" t="n">
        <v>0.4</v>
      </c>
      <c r="H25" s="16" t="s">
        <v>127</v>
      </c>
      <c r="I25" s="17" t="s">
        <v>38</v>
      </c>
      <c r="J25" s="17"/>
      <c r="K25" s="11" t="str">
        <f aca="false">IF(J25="","",IF(J25=0,"Band 0",IF(J25&lt;=2,"Band 1-2","Band 3-5")))</f>
        <v/>
      </c>
      <c r="L25" s="12" t="str">
        <f aca="false">IF(K25="","Enter a score in column J to see a tailored recommendation.",IFERROR(INDEX('Recommendation Library'!$C:$C,MATCH($A25&amp;"|"&amp;K25,'Recommendation Library'!$D:$D,0)),"Recommendation not found - check the Recommendation Library tab."))</f>
        <v>Enter a score in column J to see a tailored recommendation.</v>
      </c>
    </row>
    <row r="26" customFormat="false" ht="35.05" hidden="false" customHeight="false" outlineLevel="0" collapsed="false">
      <c r="A26" s="15" t="s">
        <v>128</v>
      </c>
      <c r="B26" s="16" t="s">
        <v>124</v>
      </c>
      <c r="C26" s="17" t="n">
        <v>2</v>
      </c>
      <c r="D26" s="16" t="s">
        <v>129</v>
      </c>
      <c r="E26" s="17" t="s">
        <v>130</v>
      </c>
      <c r="F26" s="17" t="s">
        <v>36</v>
      </c>
      <c r="G26" s="18" t="n">
        <v>0.35</v>
      </c>
      <c r="H26" s="16" t="s">
        <v>131</v>
      </c>
      <c r="I26" s="17" t="s">
        <v>38</v>
      </c>
      <c r="J26" s="17"/>
      <c r="K26" s="11" t="str">
        <f aca="false">IF(J26="","",IF(J26=0,"Band 0",IF(J26&lt;=2,"Band 1-2","Band 3-5")))</f>
        <v/>
      </c>
      <c r="L26" s="12" t="str">
        <f aca="false">IF(K26="","Enter a score in column J to see a tailored recommendation.",IFERROR(INDEX('Recommendation Library'!$C:$C,MATCH($A26&amp;"|"&amp;K26,'Recommendation Library'!$D:$D,0)),"Recommendation not found - check the Recommendation Library tab."))</f>
        <v>Enter a score in column J to see a tailored recommendation.</v>
      </c>
    </row>
    <row r="27" customFormat="false" ht="46.25" hidden="false" customHeight="false" outlineLevel="0" collapsed="false">
      <c r="A27" s="15" t="s">
        <v>132</v>
      </c>
      <c r="B27" s="16" t="s">
        <v>124</v>
      </c>
      <c r="C27" s="17" t="n">
        <v>3</v>
      </c>
      <c r="D27" s="16" t="s">
        <v>133</v>
      </c>
      <c r="E27" s="17" t="s">
        <v>134</v>
      </c>
      <c r="F27" s="17" t="s">
        <v>36</v>
      </c>
      <c r="G27" s="18" t="n">
        <v>0.25</v>
      </c>
      <c r="H27" s="16" t="s">
        <v>135</v>
      </c>
      <c r="I27" s="17" t="s">
        <v>38</v>
      </c>
      <c r="J27" s="17"/>
      <c r="K27" s="11" t="str">
        <f aca="false">IF(J27="","",IF(J27=0,"Band 0",IF(J27&lt;=2,"Band 1-2","Band 3-5")))</f>
        <v/>
      </c>
      <c r="L27" s="12" t="str">
        <f aca="false">IF(K27="","Enter a score in column J to see a tailored recommendation.",IFERROR(INDEX('Recommendation Library'!$C:$C,MATCH($A27&amp;"|"&amp;K27,'Recommendation Library'!$D:$D,0)),"Recommendation not found - check the Recommendation Library tab."))</f>
        <v>Enter a score in column J to see a tailored recommendation.</v>
      </c>
    </row>
    <row r="28" customFormat="false" ht="15" hidden="false" customHeight="true" outlineLevel="0" collapsed="false">
      <c r="A28" s="13" t="s">
        <v>136</v>
      </c>
      <c r="B28" s="13"/>
      <c r="C28" s="13"/>
      <c r="D28" s="13"/>
      <c r="E28" s="13"/>
      <c r="F28" s="13"/>
      <c r="G28" s="14" t="n">
        <f aca="false">SUM(G25:G27)</f>
        <v>1</v>
      </c>
      <c r="H28" s="13"/>
      <c r="I28" s="13"/>
      <c r="J28" s="13"/>
      <c r="K28" s="13"/>
      <c r="L28" s="13"/>
    </row>
    <row r="29" customFormat="false" ht="57.45" hidden="false" customHeight="false" outlineLevel="0" collapsed="false">
      <c r="A29" s="7" t="s">
        <v>137</v>
      </c>
      <c r="B29" s="8" t="s">
        <v>138</v>
      </c>
      <c r="C29" s="9" t="n">
        <v>1</v>
      </c>
      <c r="D29" s="8" t="s">
        <v>139</v>
      </c>
      <c r="E29" s="9" t="s">
        <v>140</v>
      </c>
      <c r="F29" s="9" t="s">
        <v>141</v>
      </c>
      <c r="G29" s="10" t="n">
        <v>0.55</v>
      </c>
      <c r="H29" s="8" t="s">
        <v>142</v>
      </c>
      <c r="I29" s="9" t="s">
        <v>143</v>
      </c>
      <c r="J29" s="9"/>
      <c r="K29" s="11" t="str">
        <f aca="false">IF(J29="","",J29)</f>
        <v/>
      </c>
      <c r="L29" s="12" t="str">
        <f aca="false">IF(K29="","Enter a score in column J to see a tailored recommendation.",IFERROR(INDEX('Recommendation Library'!$C:$C,MATCH($A29&amp;"|"&amp;K29,'Recommendation Library'!$D:$D,0)),"Recommendation not found - check the Recommendation Library tab."))</f>
        <v>Enter a score in column J to see a tailored recommendation.</v>
      </c>
    </row>
    <row r="30" customFormat="false" ht="46.25" hidden="false" customHeight="false" outlineLevel="0" collapsed="false">
      <c r="A30" s="7" t="s">
        <v>144</v>
      </c>
      <c r="B30" s="8" t="s">
        <v>138</v>
      </c>
      <c r="C30" s="9" t="n">
        <v>2</v>
      </c>
      <c r="D30" s="8" t="s">
        <v>145</v>
      </c>
      <c r="E30" s="9" t="s">
        <v>146</v>
      </c>
      <c r="F30" s="9" t="s">
        <v>147</v>
      </c>
      <c r="G30" s="10" t="n">
        <v>0.45</v>
      </c>
      <c r="H30" s="8" t="s">
        <v>148</v>
      </c>
      <c r="I30" s="9" t="s">
        <v>38</v>
      </c>
      <c r="J30" s="9"/>
      <c r="K30" s="11" t="str">
        <f aca="false">IF(J30="","",IF(J30=0,"Band 0",IF(J30&lt;=2,"Band 1-2","Band 3-5")))</f>
        <v/>
      </c>
      <c r="L30" s="12" t="str">
        <f aca="false">IF(J29="No","Not applicable - the organization reported no open source contributions (gate question answered No). No action needed unless contribution activity begins; revisit at the next conformance review.",IF(K30="","Enter a score in column J to see a tailored recommendation.",IFERROR(INDEX('Recommendation Library'!$C:$C,MATCH($A30&amp;"|"&amp;K30,'Recommendation Library'!$D:$D,0)),"Recommendation not found - check the Recommendation Library tab.")))</f>
        <v>Enter a score in column J to see a tailored recommendation.</v>
      </c>
    </row>
    <row r="31" customFormat="false" ht="15" hidden="false" customHeight="true" outlineLevel="0" collapsed="false">
      <c r="A31" s="13" t="s">
        <v>149</v>
      </c>
      <c r="B31" s="13"/>
      <c r="C31" s="13"/>
      <c r="D31" s="13"/>
      <c r="E31" s="13"/>
      <c r="F31" s="13"/>
      <c r="G31" s="14" t="n">
        <f aca="false">SUM(G29:G30)</f>
        <v>1</v>
      </c>
      <c r="H31" s="13"/>
      <c r="I31" s="13"/>
      <c r="J31" s="13"/>
      <c r="K31" s="13"/>
      <c r="L31" s="13"/>
    </row>
    <row r="32" customFormat="false" ht="57.45" hidden="false" customHeight="false" outlineLevel="0" collapsed="false">
      <c r="A32" s="15" t="s">
        <v>150</v>
      </c>
      <c r="B32" s="16" t="s">
        <v>151</v>
      </c>
      <c r="C32" s="17" t="n">
        <v>1</v>
      </c>
      <c r="D32" s="16" t="s">
        <v>152</v>
      </c>
      <c r="E32" s="17" t="s">
        <v>153</v>
      </c>
      <c r="F32" s="17" t="s">
        <v>36</v>
      </c>
      <c r="G32" s="18" t="n">
        <v>0.55</v>
      </c>
      <c r="H32" s="16" t="s">
        <v>154</v>
      </c>
      <c r="I32" s="17" t="s">
        <v>38</v>
      </c>
      <c r="J32" s="17"/>
      <c r="K32" s="11" t="str">
        <f aca="false">IF(J32="","",IF(J32=0,"Band 0",IF(J32&lt;=2,"Band 1-2","Band 3-5")))</f>
        <v/>
      </c>
      <c r="L32" s="12" t="str">
        <f aca="false">IF(K32="","Enter a score in column J to see a tailored recommendation.",IFERROR(INDEX('Recommendation Library'!$C:$C,MATCH($A32&amp;"|"&amp;K32,'Recommendation Library'!$D:$D,0)),"Recommendation not found - check the Recommendation Library tab."))</f>
        <v>Enter a score in column J to see a tailored recommendation.</v>
      </c>
    </row>
    <row r="33" customFormat="false" ht="35.05" hidden="false" customHeight="false" outlineLevel="0" collapsed="false">
      <c r="A33" s="15" t="s">
        <v>155</v>
      </c>
      <c r="B33" s="16" t="s">
        <v>151</v>
      </c>
      <c r="C33" s="17" t="n">
        <v>2</v>
      </c>
      <c r="D33" s="16" t="s">
        <v>156</v>
      </c>
      <c r="E33" s="17" t="s">
        <v>157</v>
      </c>
      <c r="F33" s="17" t="s">
        <v>36</v>
      </c>
      <c r="G33" s="18" t="n">
        <v>0.45</v>
      </c>
      <c r="H33" s="16" t="s">
        <v>158</v>
      </c>
      <c r="I33" s="17" t="s">
        <v>38</v>
      </c>
      <c r="J33" s="17"/>
      <c r="K33" s="11" t="str">
        <f aca="false">IF(J33="","",IF(J33=0,"Band 0",IF(J33&lt;=2,"Band 1-2","Band 3-5")))</f>
        <v/>
      </c>
      <c r="L33" s="12" t="str">
        <f aca="false">IF(K33="","Enter a score in column J to see a tailored recommendation.",IFERROR(INDEX('Recommendation Library'!$C:$C,MATCH($A33&amp;"|"&amp;K33,'Recommendation Library'!$D:$D,0)),"Recommendation not found - check the Recommendation Library tab."))</f>
        <v>Enter a score in column J to see a tailored recommendation.</v>
      </c>
    </row>
    <row r="34" customFormat="false" ht="15" hidden="false" customHeight="true" outlineLevel="0" collapsed="false">
      <c r="A34" s="13" t="s">
        <v>159</v>
      </c>
      <c r="B34" s="13"/>
      <c r="C34" s="13"/>
      <c r="D34" s="13"/>
      <c r="E34" s="13"/>
      <c r="F34" s="13"/>
      <c r="G34" s="14" t="n">
        <f aca="false">SUM(G32:G33)</f>
        <v>1</v>
      </c>
      <c r="H34" s="13"/>
      <c r="I34" s="13"/>
      <c r="J34" s="13"/>
      <c r="K34" s="13"/>
      <c r="L34" s="13"/>
    </row>
  </sheetData>
  <mergeCells count="6">
    <mergeCell ref="A11:F11"/>
    <mergeCell ref="A18:F18"/>
    <mergeCell ref="A24:F24"/>
    <mergeCell ref="A28:F28"/>
    <mergeCell ref="A31:F31"/>
    <mergeCell ref="A34:F34"/>
  </mergeCells>
  <dataValidations count="2">
    <dataValidation allowBlank="true" error="Please choose a value from 0 to 5." errorStyle="stop" operator="between" prompt="Choose the client's maturity score (0-5)." showDropDown="false" showErrorMessage="false" showInputMessage="false" sqref="J2:J10 J12:J15 J17 J19:J23 J25:J27 J30 J32:J33" type="list">
      <formula1>"0,1,2,3,4,5"</formula1>
      <formula2>0</formula2>
    </dataValidation>
    <dataValidation allowBlank="true" error="Please choose Yes or No." errorStyle="stop" operator="between" prompt="Choose Yes or No." showDropDown="false" showErrorMessage="false" showInputMessage="false" sqref="J16 J2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8"/>
    <col collapsed="false" customWidth="true" hidden="false" outlineLevel="0" max="4" min="4" style="0" width="100"/>
  </cols>
  <sheetData>
    <row r="1" customFormat="false" ht="30" hidden="false" customHeight="true" outlineLevel="0" collapsed="false">
      <c r="A1" s="19" t="s">
        <v>160</v>
      </c>
      <c r="B1" s="19" t="s">
        <v>161</v>
      </c>
      <c r="C1" s="19" t="s">
        <v>24</v>
      </c>
      <c r="D1" s="19" t="s">
        <v>162</v>
      </c>
    </row>
    <row r="2" customFormat="false" ht="99.75" hidden="false" customHeight="true" outlineLevel="0" collapsed="false">
      <c r="A2" s="20" t="n">
        <v>1</v>
      </c>
      <c r="B2" s="21" t="s">
        <v>33</v>
      </c>
      <c r="C2" s="22" t="s">
        <v>163</v>
      </c>
      <c r="D2" s="23" t="s">
        <v>164</v>
      </c>
    </row>
    <row r="3" customFormat="false" ht="99.75" hidden="false" customHeight="true" outlineLevel="0" collapsed="false">
      <c r="A3" s="15" t="n">
        <v>2</v>
      </c>
      <c r="B3" s="24" t="s">
        <v>74</v>
      </c>
      <c r="C3" s="17" t="s">
        <v>165</v>
      </c>
      <c r="D3" s="16" t="s">
        <v>166</v>
      </c>
    </row>
    <row r="4" customFormat="false" ht="99.75" hidden="false" customHeight="true" outlineLevel="0" collapsed="false">
      <c r="A4" s="20" t="n">
        <v>3</v>
      </c>
      <c r="B4" s="21" t="s">
        <v>101</v>
      </c>
      <c r="C4" s="22" t="s">
        <v>167</v>
      </c>
      <c r="D4" s="23" t="s">
        <v>168</v>
      </c>
    </row>
    <row r="5" customFormat="false" ht="99.75" hidden="false" customHeight="true" outlineLevel="0" collapsed="false">
      <c r="A5" s="15" t="n">
        <v>4</v>
      </c>
      <c r="B5" s="24" t="s">
        <v>124</v>
      </c>
      <c r="C5" s="17" t="s">
        <v>169</v>
      </c>
      <c r="D5" s="16" t="s">
        <v>170</v>
      </c>
    </row>
    <row r="6" customFormat="false" ht="99.75" hidden="false" customHeight="true" outlineLevel="0" collapsed="false">
      <c r="A6" s="20" t="n">
        <v>5</v>
      </c>
      <c r="B6" s="21" t="s">
        <v>138</v>
      </c>
      <c r="C6" s="22" t="s">
        <v>171</v>
      </c>
      <c r="D6" s="23" t="s">
        <v>172</v>
      </c>
    </row>
    <row r="7" customFormat="false" ht="99.75" hidden="false" customHeight="true" outlineLevel="0" collapsed="false">
      <c r="A7" s="15" t="n">
        <v>6</v>
      </c>
      <c r="B7" s="24" t="s">
        <v>151</v>
      </c>
      <c r="C7" s="17" t="s">
        <v>173</v>
      </c>
      <c r="D7" s="16"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0"/>
    <col collapsed="false" customWidth="true" hidden="false" outlineLevel="0" max="4" min="4" style="0" width="14"/>
    <col collapsed="false" customWidth="true" hidden="false" outlineLevel="0" max="5" min="5" style="0" width="20"/>
    <col collapsed="false" customWidth="true" hidden="false" outlineLevel="0" max="6" min="6" style="0" width="60"/>
  </cols>
  <sheetData>
    <row r="1" customFormat="false" ht="31.5" hidden="false" customHeight="true" outlineLevel="0" collapsed="false">
      <c r="A1" s="6" t="s">
        <v>160</v>
      </c>
      <c r="B1" s="6" t="s">
        <v>21</v>
      </c>
      <c r="C1" s="6" t="s">
        <v>24</v>
      </c>
      <c r="D1" s="6" t="s">
        <v>175</v>
      </c>
      <c r="E1" s="6" t="s">
        <v>176</v>
      </c>
      <c r="F1" s="6" t="s">
        <v>177</v>
      </c>
    </row>
    <row r="2" customFormat="false" ht="46.25" hidden="false" customHeight="false" outlineLevel="0" collapsed="false">
      <c r="A2" s="9" t="n">
        <v>1</v>
      </c>
      <c r="B2" s="8" t="s">
        <v>33</v>
      </c>
      <c r="C2" s="9" t="s">
        <v>163</v>
      </c>
      <c r="D2" s="9" t="n">
        <v>9</v>
      </c>
      <c r="E2" s="10" t="n">
        <f aca="false">'Question Mapping'!G11</f>
        <v>1</v>
      </c>
      <c r="F2" s="8" t="s">
        <v>178</v>
      </c>
    </row>
    <row r="3" customFormat="false" ht="35.05" hidden="false" customHeight="false" outlineLevel="0" collapsed="false">
      <c r="A3" s="17" t="n">
        <v>2</v>
      </c>
      <c r="B3" s="16" t="s">
        <v>74</v>
      </c>
      <c r="C3" s="17" t="s">
        <v>165</v>
      </c>
      <c r="D3" s="17" t="n">
        <v>6</v>
      </c>
      <c r="E3" s="18" t="n">
        <f aca="false">'Question Mapping'!G18</f>
        <v>1</v>
      </c>
      <c r="F3" s="16" t="s">
        <v>179</v>
      </c>
    </row>
    <row r="4" customFormat="false" ht="35.05" hidden="false" customHeight="false" outlineLevel="0" collapsed="false">
      <c r="A4" s="9" t="n">
        <v>3</v>
      </c>
      <c r="B4" s="8" t="s">
        <v>101</v>
      </c>
      <c r="C4" s="9" t="s">
        <v>167</v>
      </c>
      <c r="D4" s="9" t="n">
        <v>5</v>
      </c>
      <c r="E4" s="10" t="n">
        <f aca="false">'Question Mapping'!G24</f>
        <v>1</v>
      </c>
      <c r="F4" s="8" t="s">
        <v>180</v>
      </c>
    </row>
    <row r="5" customFormat="false" ht="35.05" hidden="false" customHeight="false" outlineLevel="0" collapsed="false">
      <c r="A5" s="17" t="n">
        <v>4</v>
      </c>
      <c r="B5" s="16" t="s">
        <v>124</v>
      </c>
      <c r="C5" s="17" t="s">
        <v>169</v>
      </c>
      <c r="D5" s="17" t="n">
        <v>3</v>
      </c>
      <c r="E5" s="18" t="n">
        <f aca="false">'Question Mapping'!G28</f>
        <v>1</v>
      </c>
      <c r="F5" s="16" t="s">
        <v>181</v>
      </c>
    </row>
    <row r="6" customFormat="false" ht="35.05" hidden="false" customHeight="false" outlineLevel="0" collapsed="false">
      <c r="A6" s="9" t="n">
        <v>5</v>
      </c>
      <c r="B6" s="8" t="s">
        <v>138</v>
      </c>
      <c r="C6" s="9" t="s">
        <v>171</v>
      </c>
      <c r="D6" s="9" t="n">
        <v>2</v>
      </c>
      <c r="E6" s="10" t="n">
        <f aca="false">'Question Mapping'!G31</f>
        <v>1</v>
      </c>
      <c r="F6" s="8" t="s">
        <v>182</v>
      </c>
    </row>
    <row r="7" customFormat="false" ht="23.85" hidden="false" customHeight="false" outlineLevel="0" collapsed="false">
      <c r="A7" s="17" t="n">
        <v>6</v>
      </c>
      <c r="B7" s="16" t="s">
        <v>151</v>
      </c>
      <c r="C7" s="17" t="s">
        <v>173</v>
      </c>
      <c r="D7" s="17" t="n">
        <v>2</v>
      </c>
      <c r="E7" s="18" t="n">
        <f aca="false">'Question Mapping'!G34</f>
        <v>1</v>
      </c>
      <c r="F7" s="16" t="s">
        <v>183</v>
      </c>
    </row>
    <row r="8" customFormat="false" ht="15" hidden="false" customHeight="false" outlineLevel="0" collapsed="false">
      <c r="A8" s="25"/>
      <c r="B8" s="13" t="s">
        <v>184</v>
      </c>
      <c r="C8" s="25"/>
      <c r="D8" s="26" t="n">
        <f aca="false">SUM(D2:D7)</f>
        <v>27</v>
      </c>
      <c r="E8" s="14" t="n">
        <f aca="false">SUM(E2:E7)/6</f>
        <v>1</v>
      </c>
      <c r="F8" s="25"/>
    </row>
    <row r="10" customFormat="false" ht="22.35" hidden="false" customHeight="true" outlineLevel="0" collapsed="false">
      <c r="B10" s="27" t="s">
        <v>185</v>
      </c>
      <c r="C10" s="27"/>
      <c r="D10" s="27"/>
      <c r="E10" s="27"/>
      <c r="F10" s="27"/>
    </row>
  </sheetData>
  <mergeCells count="1">
    <mergeCell ref="B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95"/>
    <col collapsed="false" customWidth="true" hidden="true" outlineLevel="0" max="4" min="4" style="0" width="16"/>
  </cols>
  <sheetData>
    <row r="1" customFormat="false" ht="24" hidden="false" customHeight="true" outlineLevel="0" collapsed="false">
      <c r="A1" s="28" t="s">
        <v>20</v>
      </c>
      <c r="B1" s="28" t="s">
        <v>186</v>
      </c>
      <c r="C1" s="28" t="s">
        <v>187</v>
      </c>
      <c r="D1" s="28" t="s">
        <v>188</v>
      </c>
    </row>
    <row r="2" customFormat="false" ht="35.05" hidden="false" customHeight="false" outlineLevel="0" collapsed="false">
      <c r="A2" s="11" t="s">
        <v>32</v>
      </c>
      <c r="B2" s="11" t="s">
        <v>189</v>
      </c>
      <c r="C2" s="12" t="s">
        <v>190</v>
      </c>
      <c r="D2" s="29" t="str">
        <f aca="false">A2&amp;"|"&amp;B2</f>
        <v>Q01|Band 0</v>
      </c>
    </row>
    <row r="3" customFormat="false" ht="35.05" hidden="false" customHeight="false" outlineLevel="0" collapsed="false">
      <c r="A3" s="11" t="s">
        <v>32</v>
      </c>
      <c r="B3" s="11" t="s">
        <v>191</v>
      </c>
      <c r="C3" s="12" t="s">
        <v>192</v>
      </c>
      <c r="D3" s="29" t="str">
        <f aca="false">A3&amp;"|"&amp;B3</f>
        <v>Q01|Band 1-2</v>
      </c>
    </row>
    <row r="4" customFormat="false" ht="35.05" hidden="false" customHeight="false" outlineLevel="0" collapsed="false">
      <c r="A4" s="11" t="s">
        <v>32</v>
      </c>
      <c r="B4" s="11" t="s">
        <v>193</v>
      </c>
      <c r="C4" s="12" t="s">
        <v>194</v>
      </c>
      <c r="D4" s="29" t="str">
        <f aca="false">A4&amp;"|"&amp;B4</f>
        <v>Q01|Band 3-5</v>
      </c>
    </row>
    <row r="5" customFormat="false" ht="35.05" hidden="false" customHeight="false" outlineLevel="0" collapsed="false">
      <c r="A5" s="11" t="s">
        <v>39</v>
      </c>
      <c r="B5" s="11" t="s">
        <v>189</v>
      </c>
      <c r="C5" s="12" t="s">
        <v>195</v>
      </c>
      <c r="D5" s="29" t="str">
        <f aca="false">A5&amp;"|"&amp;B5</f>
        <v>Q02|Band 0</v>
      </c>
    </row>
    <row r="6" customFormat="false" ht="35.05" hidden="false" customHeight="false" outlineLevel="0" collapsed="false">
      <c r="A6" s="11" t="s">
        <v>39</v>
      </c>
      <c r="B6" s="11" t="s">
        <v>191</v>
      </c>
      <c r="C6" s="12" t="s">
        <v>196</v>
      </c>
      <c r="D6" s="29" t="str">
        <f aca="false">A6&amp;"|"&amp;B6</f>
        <v>Q02|Band 1-2</v>
      </c>
    </row>
    <row r="7" customFormat="false" ht="35.05" hidden="false" customHeight="false" outlineLevel="0" collapsed="false">
      <c r="A7" s="11" t="s">
        <v>39</v>
      </c>
      <c r="B7" s="11" t="s">
        <v>193</v>
      </c>
      <c r="C7" s="12" t="s">
        <v>197</v>
      </c>
      <c r="D7" s="29" t="str">
        <f aca="false">A7&amp;"|"&amp;B7</f>
        <v>Q02|Band 3-5</v>
      </c>
    </row>
    <row r="8" customFormat="false" ht="35.05" hidden="false" customHeight="false" outlineLevel="0" collapsed="false">
      <c r="A8" s="11" t="s">
        <v>43</v>
      </c>
      <c r="B8" s="11" t="s">
        <v>189</v>
      </c>
      <c r="C8" s="12" t="s">
        <v>198</v>
      </c>
      <c r="D8" s="29" t="str">
        <f aca="false">A8&amp;"|"&amp;B8</f>
        <v>Q03|Band 0</v>
      </c>
    </row>
    <row r="9" customFormat="false" ht="35.05" hidden="false" customHeight="false" outlineLevel="0" collapsed="false">
      <c r="A9" s="11" t="s">
        <v>43</v>
      </c>
      <c r="B9" s="11" t="s">
        <v>191</v>
      </c>
      <c r="C9" s="12" t="s">
        <v>199</v>
      </c>
      <c r="D9" s="29" t="str">
        <f aca="false">A9&amp;"|"&amp;B9</f>
        <v>Q03|Band 1-2</v>
      </c>
    </row>
    <row r="10" customFormat="false" ht="23.85" hidden="false" customHeight="false" outlineLevel="0" collapsed="false">
      <c r="A10" s="11" t="s">
        <v>43</v>
      </c>
      <c r="B10" s="11" t="s">
        <v>193</v>
      </c>
      <c r="C10" s="12" t="s">
        <v>200</v>
      </c>
      <c r="D10" s="29" t="str">
        <f aca="false">A10&amp;"|"&amp;B10</f>
        <v>Q03|Band 3-5</v>
      </c>
    </row>
    <row r="11" customFormat="false" ht="46.25" hidden="false" customHeight="false" outlineLevel="0" collapsed="false">
      <c r="A11" s="11" t="s">
        <v>47</v>
      </c>
      <c r="B11" s="11" t="s">
        <v>189</v>
      </c>
      <c r="C11" s="12" t="s">
        <v>201</v>
      </c>
      <c r="D11" s="29" t="str">
        <f aca="false">A11&amp;"|"&amp;B11</f>
        <v>Q04|Band 0</v>
      </c>
    </row>
    <row r="12" customFormat="false" ht="35.05" hidden="false" customHeight="false" outlineLevel="0" collapsed="false">
      <c r="A12" s="11" t="s">
        <v>47</v>
      </c>
      <c r="B12" s="11" t="s">
        <v>191</v>
      </c>
      <c r="C12" s="12" t="s">
        <v>202</v>
      </c>
      <c r="D12" s="29" t="str">
        <f aca="false">A12&amp;"|"&amp;B12</f>
        <v>Q04|Band 1-2</v>
      </c>
    </row>
    <row r="13" customFormat="false" ht="23.85" hidden="false" customHeight="false" outlineLevel="0" collapsed="false">
      <c r="A13" s="11" t="s">
        <v>47</v>
      </c>
      <c r="B13" s="11" t="s">
        <v>193</v>
      </c>
      <c r="C13" s="12" t="s">
        <v>203</v>
      </c>
      <c r="D13" s="29" t="str">
        <f aca="false">A13&amp;"|"&amp;B13</f>
        <v>Q04|Band 3-5</v>
      </c>
    </row>
    <row r="14" customFormat="false" ht="35.05" hidden="false" customHeight="false" outlineLevel="0" collapsed="false">
      <c r="A14" s="11" t="s">
        <v>51</v>
      </c>
      <c r="B14" s="11" t="s">
        <v>189</v>
      </c>
      <c r="C14" s="12" t="s">
        <v>204</v>
      </c>
      <c r="D14" s="29" t="str">
        <f aca="false">A14&amp;"|"&amp;B14</f>
        <v>Q05|Band 0</v>
      </c>
    </row>
    <row r="15" customFormat="false" ht="35.05" hidden="false" customHeight="false" outlineLevel="0" collapsed="false">
      <c r="A15" s="11" t="s">
        <v>51</v>
      </c>
      <c r="B15" s="11" t="s">
        <v>191</v>
      </c>
      <c r="C15" s="12" t="s">
        <v>205</v>
      </c>
      <c r="D15" s="29" t="str">
        <f aca="false">A15&amp;"|"&amp;B15</f>
        <v>Q05|Band 1-2</v>
      </c>
    </row>
    <row r="16" customFormat="false" ht="35.05" hidden="false" customHeight="false" outlineLevel="0" collapsed="false">
      <c r="A16" s="11" t="s">
        <v>51</v>
      </c>
      <c r="B16" s="11" t="s">
        <v>193</v>
      </c>
      <c r="C16" s="12" t="s">
        <v>206</v>
      </c>
      <c r="D16" s="29" t="str">
        <f aca="false">A16&amp;"|"&amp;B16</f>
        <v>Q05|Band 3-5</v>
      </c>
    </row>
    <row r="17" customFormat="false" ht="35.05" hidden="false" customHeight="false" outlineLevel="0" collapsed="false">
      <c r="A17" s="11" t="s">
        <v>55</v>
      </c>
      <c r="B17" s="11" t="s">
        <v>189</v>
      </c>
      <c r="C17" s="12" t="s">
        <v>207</v>
      </c>
      <c r="D17" s="29" t="str">
        <f aca="false">A17&amp;"|"&amp;B17</f>
        <v>Q06|Band 0</v>
      </c>
    </row>
    <row r="18" customFormat="false" ht="35.05" hidden="false" customHeight="false" outlineLevel="0" collapsed="false">
      <c r="A18" s="11" t="s">
        <v>55</v>
      </c>
      <c r="B18" s="11" t="s">
        <v>191</v>
      </c>
      <c r="C18" s="12" t="s">
        <v>208</v>
      </c>
      <c r="D18" s="29" t="str">
        <f aca="false">A18&amp;"|"&amp;B18</f>
        <v>Q06|Band 1-2</v>
      </c>
    </row>
    <row r="19" customFormat="false" ht="23.85" hidden="false" customHeight="false" outlineLevel="0" collapsed="false">
      <c r="A19" s="11" t="s">
        <v>55</v>
      </c>
      <c r="B19" s="11" t="s">
        <v>193</v>
      </c>
      <c r="C19" s="12" t="s">
        <v>209</v>
      </c>
      <c r="D19" s="29" t="str">
        <f aca="false">A19&amp;"|"&amp;B19</f>
        <v>Q06|Band 3-5</v>
      </c>
    </row>
    <row r="20" customFormat="false" ht="35.05" hidden="false" customHeight="false" outlineLevel="0" collapsed="false">
      <c r="A20" s="11" t="s">
        <v>59</v>
      </c>
      <c r="B20" s="11" t="s">
        <v>189</v>
      </c>
      <c r="C20" s="12" t="s">
        <v>210</v>
      </c>
      <c r="D20" s="29" t="str">
        <f aca="false">A20&amp;"|"&amp;B20</f>
        <v>Q07|Band 0</v>
      </c>
    </row>
    <row r="21" customFormat="false" ht="23.85" hidden="false" customHeight="false" outlineLevel="0" collapsed="false">
      <c r="A21" s="11" t="s">
        <v>59</v>
      </c>
      <c r="B21" s="11" t="s">
        <v>191</v>
      </c>
      <c r="C21" s="12" t="s">
        <v>211</v>
      </c>
      <c r="D21" s="29" t="str">
        <f aca="false">A21&amp;"|"&amp;B21</f>
        <v>Q07|Band 1-2</v>
      </c>
    </row>
    <row r="22" customFormat="false" ht="35.05" hidden="false" customHeight="false" outlineLevel="0" collapsed="false">
      <c r="A22" s="11" t="s">
        <v>59</v>
      </c>
      <c r="B22" s="11" t="s">
        <v>193</v>
      </c>
      <c r="C22" s="12" t="s">
        <v>212</v>
      </c>
      <c r="D22" s="29" t="str">
        <f aca="false">A22&amp;"|"&amp;B22</f>
        <v>Q07|Band 3-5</v>
      </c>
    </row>
    <row r="23" customFormat="false" ht="23.85" hidden="false" customHeight="false" outlineLevel="0" collapsed="false">
      <c r="A23" s="11" t="s">
        <v>63</v>
      </c>
      <c r="B23" s="11" t="s">
        <v>189</v>
      </c>
      <c r="C23" s="12" t="s">
        <v>213</v>
      </c>
      <c r="D23" s="29" t="str">
        <f aca="false">A23&amp;"|"&amp;B23</f>
        <v>Q08|Band 0</v>
      </c>
    </row>
    <row r="24" customFormat="false" ht="23.85" hidden="false" customHeight="false" outlineLevel="0" collapsed="false">
      <c r="A24" s="11" t="s">
        <v>63</v>
      </c>
      <c r="B24" s="11" t="s">
        <v>191</v>
      </c>
      <c r="C24" s="12" t="s">
        <v>214</v>
      </c>
      <c r="D24" s="29" t="str">
        <f aca="false">A24&amp;"|"&amp;B24</f>
        <v>Q08|Band 1-2</v>
      </c>
    </row>
    <row r="25" customFormat="false" ht="23.85" hidden="false" customHeight="false" outlineLevel="0" collapsed="false">
      <c r="A25" s="11" t="s">
        <v>63</v>
      </c>
      <c r="B25" s="11" t="s">
        <v>193</v>
      </c>
      <c r="C25" s="12" t="s">
        <v>215</v>
      </c>
      <c r="D25" s="29" t="str">
        <f aca="false">A25&amp;"|"&amp;B25</f>
        <v>Q08|Band 3-5</v>
      </c>
    </row>
    <row r="26" customFormat="false" ht="35.05" hidden="false" customHeight="false" outlineLevel="0" collapsed="false">
      <c r="A26" s="11" t="s">
        <v>67</v>
      </c>
      <c r="B26" s="11" t="s">
        <v>189</v>
      </c>
      <c r="C26" s="12" t="s">
        <v>216</v>
      </c>
      <c r="D26" s="29" t="str">
        <f aca="false">A26&amp;"|"&amp;B26</f>
        <v>Q09|Band 0</v>
      </c>
    </row>
    <row r="27" customFormat="false" ht="35.05" hidden="false" customHeight="false" outlineLevel="0" collapsed="false">
      <c r="A27" s="11" t="s">
        <v>67</v>
      </c>
      <c r="B27" s="11" t="s">
        <v>191</v>
      </c>
      <c r="C27" s="12" t="s">
        <v>217</v>
      </c>
      <c r="D27" s="29" t="str">
        <f aca="false">A27&amp;"|"&amp;B27</f>
        <v>Q09|Band 1-2</v>
      </c>
    </row>
    <row r="28" customFormat="false" ht="23.85" hidden="false" customHeight="false" outlineLevel="0" collapsed="false">
      <c r="A28" s="11" t="s">
        <v>67</v>
      </c>
      <c r="B28" s="11" t="s">
        <v>193</v>
      </c>
      <c r="C28" s="12" t="s">
        <v>218</v>
      </c>
      <c r="D28" s="29" t="str">
        <f aca="false">A28&amp;"|"&amp;B28</f>
        <v>Q09|Band 3-5</v>
      </c>
    </row>
    <row r="29" customFormat="false" ht="35.05" hidden="false" customHeight="false" outlineLevel="0" collapsed="false">
      <c r="A29" s="11" t="s">
        <v>73</v>
      </c>
      <c r="B29" s="11" t="s">
        <v>189</v>
      </c>
      <c r="C29" s="12" t="s">
        <v>219</v>
      </c>
      <c r="D29" s="29" t="str">
        <f aca="false">A29&amp;"|"&amp;B29</f>
        <v>Q10|Band 0</v>
      </c>
    </row>
    <row r="30" customFormat="false" ht="23.85" hidden="false" customHeight="false" outlineLevel="0" collapsed="false">
      <c r="A30" s="11" t="s">
        <v>73</v>
      </c>
      <c r="B30" s="11" t="s">
        <v>191</v>
      </c>
      <c r="C30" s="12" t="s">
        <v>220</v>
      </c>
      <c r="D30" s="29" t="str">
        <f aca="false">A30&amp;"|"&amp;B30</f>
        <v>Q10|Band 1-2</v>
      </c>
    </row>
    <row r="31" customFormat="false" ht="23.85" hidden="false" customHeight="false" outlineLevel="0" collapsed="false">
      <c r="A31" s="11" t="s">
        <v>73</v>
      </c>
      <c r="B31" s="11" t="s">
        <v>193</v>
      </c>
      <c r="C31" s="12" t="s">
        <v>221</v>
      </c>
      <c r="D31" s="29" t="str">
        <f aca="false">A31&amp;"|"&amp;B31</f>
        <v>Q10|Band 3-5</v>
      </c>
    </row>
    <row r="32" customFormat="false" ht="46.25" hidden="false" customHeight="false" outlineLevel="0" collapsed="false">
      <c r="A32" s="11" t="s">
        <v>78</v>
      </c>
      <c r="B32" s="11" t="s">
        <v>189</v>
      </c>
      <c r="C32" s="12" t="s">
        <v>222</v>
      </c>
      <c r="D32" s="29" t="str">
        <f aca="false">A32&amp;"|"&amp;B32</f>
        <v>Q11|Band 0</v>
      </c>
    </row>
    <row r="33" customFormat="false" ht="35.05" hidden="false" customHeight="false" outlineLevel="0" collapsed="false">
      <c r="A33" s="11" t="s">
        <v>78</v>
      </c>
      <c r="B33" s="11" t="s">
        <v>191</v>
      </c>
      <c r="C33" s="12" t="s">
        <v>223</v>
      </c>
      <c r="D33" s="29" t="str">
        <f aca="false">A33&amp;"|"&amp;B33</f>
        <v>Q11|Band 1-2</v>
      </c>
    </row>
    <row r="34" customFormat="false" ht="35.05" hidden="false" customHeight="false" outlineLevel="0" collapsed="false">
      <c r="A34" s="11" t="s">
        <v>78</v>
      </c>
      <c r="B34" s="11" t="s">
        <v>193</v>
      </c>
      <c r="C34" s="12" t="s">
        <v>224</v>
      </c>
      <c r="D34" s="29" t="str">
        <f aca="false">A34&amp;"|"&amp;B34</f>
        <v>Q11|Band 3-5</v>
      </c>
    </row>
    <row r="35" customFormat="false" ht="35.05" hidden="false" customHeight="false" outlineLevel="0" collapsed="false">
      <c r="A35" s="11" t="s">
        <v>82</v>
      </c>
      <c r="B35" s="11" t="s">
        <v>189</v>
      </c>
      <c r="C35" s="12" t="s">
        <v>225</v>
      </c>
      <c r="D35" s="29" t="str">
        <f aca="false">A35&amp;"|"&amp;B35</f>
        <v>Q12|Band 0</v>
      </c>
    </row>
    <row r="36" customFormat="false" ht="35.05" hidden="false" customHeight="false" outlineLevel="0" collapsed="false">
      <c r="A36" s="11" t="s">
        <v>82</v>
      </c>
      <c r="B36" s="11" t="s">
        <v>191</v>
      </c>
      <c r="C36" s="12" t="s">
        <v>226</v>
      </c>
      <c r="D36" s="29" t="str">
        <f aca="false">A36&amp;"|"&amp;B36</f>
        <v>Q12|Band 1-2</v>
      </c>
    </row>
    <row r="37" customFormat="false" ht="23.85" hidden="false" customHeight="false" outlineLevel="0" collapsed="false">
      <c r="A37" s="11" t="s">
        <v>82</v>
      </c>
      <c r="B37" s="11" t="s">
        <v>193</v>
      </c>
      <c r="C37" s="12" t="s">
        <v>227</v>
      </c>
      <c r="D37" s="29" t="str">
        <f aca="false">A37&amp;"|"&amp;B37</f>
        <v>Q12|Band 3-5</v>
      </c>
    </row>
    <row r="38" customFormat="false" ht="35.05" hidden="false" customHeight="false" outlineLevel="0" collapsed="false">
      <c r="A38" s="11" t="s">
        <v>86</v>
      </c>
      <c r="B38" s="11" t="s">
        <v>189</v>
      </c>
      <c r="C38" s="12" t="s">
        <v>228</v>
      </c>
      <c r="D38" s="29" t="str">
        <f aca="false">A38&amp;"|"&amp;B38</f>
        <v>Q13|Band 0</v>
      </c>
    </row>
    <row r="39" customFormat="false" ht="23.85" hidden="false" customHeight="false" outlineLevel="0" collapsed="false">
      <c r="A39" s="11" t="s">
        <v>86</v>
      </c>
      <c r="B39" s="11" t="s">
        <v>191</v>
      </c>
      <c r="C39" s="12" t="s">
        <v>229</v>
      </c>
      <c r="D39" s="29" t="str">
        <f aca="false">A39&amp;"|"&amp;B39</f>
        <v>Q13|Band 1-2</v>
      </c>
    </row>
    <row r="40" customFormat="false" ht="23.85" hidden="false" customHeight="false" outlineLevel="0" collapsed="false">
      <c r="A40" s="11" t="s">
        <v>86</v>
      </c>
      <c r="B40" s="11" t="s">
        <v>193</v>
      </c>
      <c r="C40" s="12" t="s">
        <v>230</v>
      </c>
      <c r="D40" s="29" t="str">
        <f aca="false">A40&amp;"|"&amp;B40</f>
        <v>Q13|Band 3-5</v>
      </c>
    </row>
    <row r="41" customFormat="false" ht="35.05" hidden="false" customHeight="false" outlineLevel="0" collapsed="false">
      <c r="A41" s="11" t="s">
        <v>90</v>
      </c>
      <c r="B41" s="11" t="s">
        <v>231</v>
      </c>
      <c r="C41" s="12" t="s">
        <v>232</v>
      </c>
      <c r="D41" s="29" t="str">
        <f aca="false">A41&amp;"|"&amp;B41</f>
        <v>Q14|Yes</v>
      </c>
    </row>
    <row r="42" customFormat="false" ht="35.05" hidden="false" customHeight="false" outlineLevel="0" collapsed="false">
      <c r="A42" s="11" t="s">
        <v>90</v>
      </c>
      <c r="B42" s="11" t="s">
        <v>233</v>
      </c>
      <c r="C42" s="12" t="s">
        <v>234</v>
      </c>
      <c r="D42" s="29" t="str">
        <f aca="false">A42&amp;"|"&amp;B42</f>
        <v>Q14|No</v>
      </c>
    </row>
    <row r="43" customFormat="false" ht="23.85" hidden="false" customHeight="false" outlineLevel="0" collapsed="false">
      <c r="A43" s="11" t="s">
        <v>95</v>
      </c>
      <c r="B43" s="11" t="s">
        <v>189</v>
      </c>
      <c r="C43" s="12" t="s">
        <v>235</v>
      </c>
      <c r="D43" s="29" t="str">
        <f aca="false">A43&amp;"|"&amp;B43</f>
        <v>Q15|Band 0</v>
      </c>
    </row>
    <row r="44" customFormat="false" ht="23.85" hidden="false" customHeight="false" outlineLevel="0" collapsed="false">
      <c r="A44" s="11" t="s">
        <v>95</v>
      </c>
      <c r="B44" s="11" t="s">
        <v>191</v>
      </c>
      <c r="C44" s="12" t="s">
        <v>236</v>
      </c>
      <c r="D44" s="29" t="str">
        <f aca="false">A44&amp;"|"&amp;B44</f>
        <v>Q15|Band 1-2</v>
      </c>
    </row>
    <row r="45" customFormat="false" ht="35.05" hidden="false" customHeight="false" outlineLevel="0" collapsed="false">
      <c r="A45" s="11" t="s">
        <v>95</v>
      </c>
      <c r="B45" s="11" t="s">
        <v>193</v>
      </c>
      <c r="C45" s="12" t="s">
        <v>237</v>
      </c>
      <c r="D45" s="29" t="str">
        <f aca="false">A45&amp;"|"&amp;B45</f>
        <v>Q15|Band 3-5</v>
      </c>
    </row>
    <row r="46" customFormat="false" ht="46.25" hidden="false" customHeight="false" outlineLevel="0" collapsed="false">
      <c r="A46" s="11" t="s">
        <v>100</v>
      </c>
      <c r="B46" s="11" t="s">
        <v>189</v>
      </c>
      <c r="C46" s="12" t="s">
        <v>238</v>
      </c>
      <c r="D46" s="29" t="str">
        <f aca="false">A46&amp;"|"&amp;B46</f>
        <v>Q16|Band 0</v>
      </c>
    </row>
    <row r="47" customFormat="false" ht="35.05" hidden="false" customHeight="false" outlineLevel="0" collapsed="false">
      <c r="A47" s="11" t="s">
        <v>100</v>
      </c>
      <c r="B47" s="11" t="s">
        <v>191</v>
      </c>
      <c r="C47" s="12" t="s">
        <v>239</v>
      </c>
      <c r="D47" s="29" t="str">
        <f aca="false">A47&amp;"|"&amp;B47</f>
        <v>Q16|Band 1-2</v>
      </c>
    </row>
    <row r="48" customFormat="false" ht="35.05" hidden="false" customHeight="false" outlineLevel="0" collapsed="false">
      <c r="A48" s="11" t="s">
        <v>100</v>
      </c>
      <c r="B48" s="11" t="s">
        <v>193</v>
      </c>
      <c r="C48" s="12" t="s">
        <v>240</v>
      </c>
      <c r="D48" s="29" t="str">
        <f aca="false">A48&amp;"|"&amp;B48</f>
        <v>Q16|Band 3-5</v>
      </c>
    </row>
    <row r="49" customFormat="false" ht="23.85" hidden="false" customHeight="false" outlineLevel="0" collapsed="false">
      <c r="A49" s="11" t="s">
        <v>105</v>
      </c>
      <c r="B49" s="11" t="s">
        <v>189</v>
      </c>
      <c r="C49" s="12" t="s">
        <v>241</v>
      </c>
      <c r="D49" s="29" t="str">
        <f aca="false">A49&amp;"|"&amp;B49</f>
        <v>Q17|Band 0</v>
      </c>
    </row>
    <row r="50" customFormat="false" ht="23.85" hidden="false" customHeight="false" outlineLevel="0" collapsed="false">
      <c r="A50" s="11" t="s">
        <v>105</v>
      </c>
      <c r="B50" s="11" t="s">
        <v>191</v>
      </c>
      <c r="C50" s="12" t="s">
        <v>242</v>
      </c>
      <c r="D50" s="29" t="str">
        <f aca="false">A50&amp;"|"&amp;B50</f>
        <v>Q17|Band 1-2</v>
      </c>
    </row>
    <row r="51" customFormat="false" ht="35.05" hidden="false" customHeight="false" outlineLevel="0" collapsed="false">
      <c r="A51" s="11" t="s">
        <v>105</v>
      </c>
      <c r="B51" s="11" t="s">
        <v>193</v>
      </c>
      <c r="C51" s="12" t="s">
        <v>243</v>
      </c>
      <c r="D51" s="29" t="str">
        <f aca="false">A51&amp;"|"&amp;B51</f>
        <v>Q17|Band 3-5</v>
      </c>
    </row>
    <row r="52" customFormat="false" ht="35.05" hidden="false" customHeight="false" outlineLevel="0" collapsed="false">
      <c r="A52" s="11" t="s">
        <v>109</v>
      </c>
      <c r="B52" s="11" t="s">
        <v>189</v>
      </c>
      <c r="C52" s="12" t="s">
        <v>244</v>
      </c>
      <c r="D52" s="29" t="str">
        <f aca="false">A52&amp;"|"&amp;B52</f>
        <v>Q18|Band 0</v>
      </c>
    </row>
    <row r="53" customFormat="false" ht="23.85" hidden="false" customHeight="false" outlineLevel="0" collapsed="false">
      <c r="A53" s="11" t="s">
        <v>109</v>
      </c>
      <c r="B53" s="11" t="s">
        <v>191</v>
      </c>
      <c r="C53" s="12" t="s">
        <v>245</v>
      </c>
      <c r="D53" s="29" t="str">
        <f aca="false">A53&amp;"|"&amp;B53</f>
        <v>Q18|Band 1-2</v>
      </c>
    </row>
    <row r="54" customFormat="false" ht="23.85" hidden="false" customHeight="false" outlineLevel="0" collapsed="false">
      <c r="A54" s="11" t="s">
        <v>109</v>
      </c>
      <c r="B54" s="11" t="s">
        <v>193</v>
      </c>
      <c r="C54" s="12" t="s">
        <v>246</v>
      </c>
      <c r="D54" s="29" t="str">
        <f aca="false">A54&amp;"|"&amp;B54</f>
        <v>Q18|Band 3-5</v>
      </c>
    </row>
    <row r="55" customFormat="false" ht="46.25" hidden="false" customHeight="false" outlineLevel="0" collapsed="false">
      <c r="A55" s="11" t="s">
        <v>113</v>
      </c>
      <c r="B55" s="11" t="s">
        <v>189</v>
      </c>
      <c r="C55" s="12" t="s">
        <v>247</v>
      </c>
      <c r="D55" s="29" t="str">
        <f aca="false">A55&amp;"|"&amp;B55</f>
        <v>Q19|Band 0</v>
      </c>
    </row>
    <row r="56" customFormat="false" ht="23.85" hidden="false" customHeight="false" outlineLevel="0" collapsed="false">
      <c r="A56" s="11" t="s">
        <v>113</v>
      </c>
      <c r="B56" s="11" t="s">
        <v>191</v>
      </c>
      <c r="C56" s="12" t="s">
        <v>248</v>
      </c>
      <c r="D56" s="29" t="str">
        <f aca="false">A56&amp;"|"&amp;B56</f>
        <v>Q19|Band 1-2</v>
      </c>
    </row>
    <row r="57" customFormat="false" ht="23.85" hidden="false" customHeight="false" outlineLevel="0" collapsed="false">
      <c r="A57" s="11" t="s">
        <v>113</v>
      </c>
      <c r="B57" s="11" t="s">
        <v>193</v>
      </c>
      <c r="C57" s="12" t="s">
        <v>249</v>
      </c>
      <c r="D57" s="29" t="str">
        <f aca="false">A57&amp;"|"&amp;B57</f>
        <v>Q19|Band 3-5</v>
      </c>
    </row>
    <row r="58" customFormat="false" ht="35.05" hidden="false" customHeight="false" outlineLevel="0" collapsed="false">
      <c r="A58" s="11" t="s">
        <v>118</v>
      </c>
      <c r="B58" s="11" t="s">
        <v>189</v>
      </c>
      <c r="C58" s="12" t="s">
        <v>250</v>
      </c>
      <c r="D58" s="29" t="str">
        <f aca="false">A58&amp;"|"&amp;B58</f>
        <v>Q20|Band 0</v>
      </c>
    </row>
    <row r="59" customFormat="false" ht="35.05" hidden="false" customHeight="false" outlineLevel="0" collapsed="false">
      <c r="A59" s="11" t="s">
        <v>118</v>
      </c>
      <c r="B59" s="11" t="s">
        <v>191</v>
      </c>
      <c r="C59" s="12" t="s">
        <v>251</v>
      </c>
      <c r="D59" s="29" t="str">
        <f aca="false">A59&amp;"|"&amp;B59</f>
        <v>Q20|Band 1-2</v>
      </c>
    </row>
    <row r="60" customFormat="false" ht="35.05" hidden="false" customHeight="false" outlineLevel="0" collapsed="false">
      <c r="A60" s="11" t="s">
        <v>118</v>
      </c>
      <c r="B60" s="11" t="s">
        <v>193</v>
      </c>
      <c r="C60" s="12" t="s">
        <v>252</v>
      </c>
      <c r="D60" s="29" t="str">
        <f aca="false">A60&amp;"|"&amp;B60</f>
        <v>Q20|Band 3-5</v>
      </c>
    </row>
    <row r="61" customFormat="false" ht="46.25" hidden="false" customHeight="false" outlineLevel="0" collapsed="false">
      <c r="A61" s="11" t="s">
        <v>123</v>
      </c>
      <c r="B61" s="11" t="s">
        <v>189</v>
      </c>
      <c r="C61" s="12" t="s">
        <v>253</v>
      </c>
      <c r="D61" s="29" t="str">
        <f aca="false">A61&amp;"|"&amp;B61</f>
        <v>Q21|Band 0</v>
      </c>
    </row>
    <row r="62" customFormat="false" ht="35.05" hidden="false" customHeight="false" outlineLevel="0" collapsed="false">
      <c r="A62" s="11" t="s">
        <v>123</v>
      </c>
      <c r="B62" s="11" t="s">
        <v>191</v>
      </c>
      <c r="C62" s="12" t="s">
        <v>254</v>
      </c>
      <c r="D62" s="29" t="str">
        <f aca="false">A62&amp;"|"&amp;B62</f>
        <v>Q21|Band 1-2</v>
      </c>
    </row>
    <row r="63" customFormat="false" ht="35.05" hidden="false" customHeight="false" outlineLevel="0" collapsed="false">
      <c r="A63" s="11" t="s">
        <v>123</v>
      </c>
      <c r="B63" s="11" t="s">
        <v>193</v>
      </c>
      <c r="C63" s="12" t="s">
        <v>255</v>
      </c>
      <c r="D63" s="29" t="str">
        <f aca="false">A63&amp;"|"&amp;B63</f>
        <v>Q21|Band 3-5</v>
      </c>
    </row>
    <row r="64" customFormat="false" ht="35.05" hidden="false" customHeight="false" outlineLevel="0" collapsed="false">
      <c r="A64" s="11" t="s">
        <v>128</v>
      </c>
      <c r="B64" s="11" t="s">
        <v>189</v>
      </c>
      <c r="C64" s="12" t="s">
        <v>256</v>
      </c>
      <c r="D64" s="29" t="str">
        <f aca="false">A64&amp;"|"&amp;B64</f>
        <v>Q22|Band 0</v>
      </c>
    </row>
    <row r="65" customFormat="false" ht="23.85" hidden="false" customHeight="false" outlineLevel="0" collapsed="false">
      <c r="A65" s="11" t="s">
        <v>128</v>
      </c>
      <c r="B65" s="11" t="s">
        <v>191</v>
      </c>
      <c r="C65" s="12" t="s">
        <v>257</v>
      </c>
      <c r="D65" s="29" t="str">
        <f aca="false">A65&amp;"|"&amp;B65</f>
        <v>Q22|Band 1-2</v>
      </c>
    </row>
    <row r="66" customFormat="false" ht="35.05" hidden="false" customHeight="false" outlineLevel="0" collapsed="false">
      <c r="A66" s="11" t="s">
        <v>128</v>
      </c>
      <c r="B66" s="11" t="s">
        <v>193</v>
      </c>
      <c r="C66" s="12" t="s">
        <v>258</v>
      </c>
      <c r="D66" s="29" t="str">
        <f aca="false">A66&amp;"|"&amp;B66</f>
        <v>Q22|Band 3-5</v>
      </c>
    </row>
    <row r="67" customFormat="false" ht="35.05" hidden="false" customHeight="false" outlineLevel="0" collapsed="false">
      <c r="A67" s="11" t="s">
        <v>132</v>
      </c>
      <c r="B67" s="11" t="s">
        <v>189</v>
      </c>
      <c r="C67" s="12" t="s">
        <v>259</v>
      </c>
      <c r="D67" s="29" t="str">
        <f aca="false">A67&amp;"|"&amp;B67</f>
        <v>Q23|Band 0</v>
      </c>
    </row>
    <row r="68" customFormat="false" ht="23.85" hidden="false" customHeight="false" outlineLevel="0" collapsed="false">
      <c r="A68" s="11" t="s">
        <v>132</v>
      </c>
      <c r="B68" s="11" t="s">
        <v>191</v>
      </c>
      <c r="C68" s="12" t="s">
        <v>260</v>
      </c>
      <c r="D68" s="29" t="str">
        <f aca="false">A68&amp;"|"&amp;B68</f>
        <v>Q23|Band 1-2</v>
      </c>
    </row>
    <row r="69" customFormat="false" ht="23.85" hidden="false" customHeight="false" outlineLevel="0" collapsed="false">
      <c r="A69" s="11" t="s">
        <v>132</v>
      </c>
      <c r="B69" s="11" t="s">
        <v>193</v>
      </c>
      <c r="C69" s="12" t="s">
        <v>261</v>
      </c>
      <c r="D69" s="29" t="str">
        <f aca="false">A69&amp;"|"&amp;B69</f>
        <v>Q23|Band 3-5</v>
      </c>
    </row>
    <row r="70" customFormat="false" ht="46.25" hidden="false" customHeight="false" outlineLevel="0" collapsed="false">
      <c r="A70" s="11" t="s">
        <v>137</v>
      </c>
      <c r="B70" s="11" t="s">
        <v>231</v>
      </c>
      <c r="C70" s="12" t="s">
        <v>262</v>
      </c>
      <c r="D70" s="29" t="str">
        <f aca="false">A70&amp;"|"&amp;B70</f>
        <v>Q24|Yes</v>
      </c>
    </row>
    <row r="71" customFormat="false" ht="57.45" hidden="false" customHeight="false" outlineLevel="0" collapsed="false">
      <c r="A71" s="11" t="s">
        <v>137</v>
      </c>
      <c r="B71" s="11" t="s">
        <v>233</v>
      </c>
      <c r="C71" s="12" t="s">
        <v>263</v>
      </c>
      <c r="D71" s="29" t="str">
        <f aca="false">A71&amp;"|"&amp;B71</f>
        <v>Q24|No</v>
      </c>
    </row>
    <row r="72" customFormat="false" ht="35.05" hidden="false" customHeight="false" outlineLevel="0" collapsed="false">
      <c r="A72" s="11" t="s">
        <v>144</v>
      </c>
      <c r="B72" s="11" t="s">
        <v>189</v>
      </c>
      <c r="C72" s="12" t="s">
        <v>264</v>
      </c>
      <c r="D72" s="29" t="str">
        <f aca="false">A72&amp;"|"&amp;B72</f>
        <v>Q25|Band 0</v>
      </c>
    </row>
    <row r="73" customFormat="false" ht="35.05" hidden="false" customHeight="false" outlineLevel="0" collapsed="false">
      <c r="A73" s="11" t="s">
        <v>144</v>
      </c>
      <c r="B73" s="11" t="s">
        <v>191</v>
      </c>
      <c r="C73" s="12" t="s">
        <v>265</v>
      </c>
      <c r="D73" s="29" t="str">
        <f aca="false">A73&amp;"|"&amp;B73</f>
        <v>Q25|Band 1-2</v>
      </c>
    </row>
    <row r="74" customFormat="false" ht="35.05" hidden="false" customHeight="false" outlineLevel="0" collapsed="false">
      <c r="A74" s="11" t="s">
        <v>144</v>
      </c>
      <c r="B74" s="11" t="s">
        <v>193</v>
      </c>
      <c r="C74" s="12" t="s">
        <v>266</v>
      </c>
      <c r="D74" s="29" t="str">
        <f aca="false">A74&amp;"|"&amp;B74</f>
        <v>Q25|Band 3-5</v>
      </c>
    </row>
    <row r="75" customFormat="false" ht="35.05" hidden="false" customHeight="false" outlineLevel="0" collapsed="false">
      <c r="A75" s="11" t="s">
        <v>150</v>
      </c>
      <c r="B75" s="11" t="s">
        <v>189</v>
      </c>
      <c r="C75" s="12" t="s">
        <v>267</v>
      </c>
      <c r="D75" s="29" t="str">
        <f aca="false">A75&amp;"|"&amp;B75</f>
        <v>Q26|Band 0</v>
      </c>
    </row>
    <row r="76" customFormat="false" ht="35.05" hidden="false" customHeight="false" outlineLevel="0" collapsed="false">
      <c r="A76" s="11" t="s">
        <v>150</v>
      </c>
      <c r="B76" s="11" t="s">
        <v>191</v>
      </c>
      <c r="C76" s="12" t="s">
        <v>268</v>
      </c>
      <c r="D76" s="29" t="str">
        <f aca="false">A76&amp;"|"&amp;B76</f>
        <v>Q26|Band 1-2</v>
      </c>
    </row>
    <row r="77" customFormat="false" ht="23.85" hidden="false" customHeight="false" outlineLevel="0" collapsed="false">
      <c r="A77" s="11" t="s">
        <v>150</v>
      </c>
      <c r="B77" s="11" t="s">
        <v>193</v>
      </c>
      <c r="C77" s="12" t="s">
        <v>269</v>
      </c>
      <c r="D77" s="29" t="str">
        <f aca="false">A77&amp;"|"&amp;B77</f>
        <v>Q26|Band 3-5</v>
      </c>
    </row>
    <row r="78" customFormat="false" ht="35.05" hidden="false" customHeight="false" outlineLevel="0" collapsed="false">
      <c r="A78" s="11" t="s">
        <v>155</v>
      </c>
      <c r="B78" s="11" t="s">
        <v>189</v>
      </c>
      <c r="C78" s="12" t="s">
        <v>270</v>
      </c>
      <c r="D78" s="29" t="str">
        <f aca="false">A78&amp;"|"&amp;B78</f>
        <v>Q27|Band 0</v>
      </c>
    </row>
    <row r="79" customFormat="false" ht="35.05" hidden="false" customHeight="false" outlineLevel="0" collapsed="false">
      <c r="A79" s="11" t="s">
        <v>155</v>
      </c>
      <c r="B79" s="11" t="s">
        <v>191</v>
      </c>
      <c r="C79" s="12" t="s">
        <v>271</v>
      </c>
      <c r="D79" s="29" t="str">
        <f aca="false">A79&amp;"|"&amp;B79</f>
        <v>Q27|Band 1-2</v>
      </c>
    </row>
    <row r="80" customFormat="false" ht="23.85" hidden="false" customHeight="false" outlineLevel="0" collapsed="false">
      <c r="A80" s="11" t="s">
        <v>155</v>
      </c>
      <c r="B80" s="11" t="s">
        <v>193</v>
      </c>
      <c r="C80" s="12" t="s">
        <v>272</v>
      </c>
      <c r="D80" s="29" t="str">
        <f aca="false">A80&amp;"|"&amp;B80</f>
        <v>Q27|Band 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65"/>
    <col collapsed="false" customWidth="true" hidden="false" outlineLevel="0" max="4" min="4" style="0" width="14"/>
    <col collapsed="false" customWidth="true" hidden="false" outlineLevel="0" max="5" min="5" style="0" width="24"/>
  </cols>
  <sheetData>
    <row r="1" customFormat="false" ht="27.75" hidden="false" customHeight="true" outlineLevel="0" collapsed="false">
      <c r="A1" s="6" t="s">
        <v>273</v>
      </c>
      <c r="B1" s="6" t="s">
        <v>274</v>
      </c>
      <c r="C1" s="6" t="s">
        <v>275</v>
      </c>
      <c r="D1" s="6" t="s">
        <v>276</v>
      </c>
      <c r="E1" s="6" t="s">
        <v>277</v>
      </c>
    </row>
    <row r="2" customFormat="false" ht="15" hidden="false" customHeight="false" outlineLevel="0" collapsed="false">
      <c r="A2" s="9" t="s">
        <v>278</v>
      </c>
      <c r="B2" s="8" t="s">
        <v>279</v>
      </c>
      <c r="C2" s="8" t="s">
        <v>280</v>
      </c>
      <c r="D2" s="9" t="n">
        <v>2</v>
      </c>
      <c r="E2" s="9" t="s">
        <v>231</v>
      </c>
    </row>
    <row r="3" customFormat="false" ht="23.85" hidden="false" customHeight="false" outlineLevel="0" collapsed="false">
      <c r="A3" s="17" t="s">
        <v>281</v>
      </c>
      <c r="B3" s="16" t="s">
        <v>282</v>
      </c>
      <c r="C3" s="16" t="s">
        <v>283</v>
      </c>
      <c r="D3" s="17" t="n">
        <v>3</v>
      </c>
      <c r="E3" s="17" t="s">
        <v>231</v>
      </c>
    </row>
    <row r="4" customFormat="false" ht="23.85" hidden="false" customHeight="false" outlineLevel="0" collapsed="false">
      <c r="A4" s="9" t="s">
        <v>284</v>
      </c>
      <c r="B4" s="8" t="s">
        <v>285</v>
      </c>
      <c r="C4" s="8" t="s">
        <v>286</v>
      </c>
      <c r="D4" s="9" t="n">
        <v>1</v>
      </c>
      <c r="E4" s="9" t="s">
        <v>231</v>
      </c>
    </row>
    <row r="5" customFormat="false" ht="23.85" hidden="false" customHeight="false" outlineLevel="0" collapsed="false">
      <c r="A5" s="17" t="s">
        <v>287</v>
      </c>
      <c r="B5" s="16" t="s">
        <v>288</v>
      </c>
      <c r="C5" s="16" t="s">
        <v>289</v>
      </c>
      <c r="D5" s="17" t="n">
        <v>1</v>
      </c>
      <c r="E5" s="17" t="s">
        <v>231</v>
      </c>
    </row>
    <row r="6" customFormat="false" ht="23.85" hidden="false" customHeight="false" outlineLevel="0" collapsed="false">
      <c r="A6" s="9" t="s">
        <v>290</v>
      </c>
      <c r="B6" s="8" t="s">
        <v>291</v>
      </c>
      <c r="C6" s="8" t="s">
        <v>292</v>
      </c>
      <c r="D6" s="9" t="n">
        <v>1</v>
      </c>
      <c r="E6" s="9" t="s">
        <v>231</v>
      </c>
    </row>
    <row r="7" customFormat="false" ht="23.85" hidden="false" customHeight="false" outlineLevel="0" collapsed="false">
      <c r="A7" s="17" t="s">
        <v>293</v>
      </c>
      <c r="B7" s="16" t="s">
        <v>294</v>
      </c>
      <c r="C7" s="16" t="s">
        <v>295</v>
      </c>
      <c r="D7" s="17" t="n">
        <v>2</v>
      </c>
      <c r="E7" s="17" t="s">
        <v>231</v>
      </c>
    </row>
    <row r="8" customFormat="false" ht="23.85" hidden="false" customHeight="false" outlineLevel="0" collapsed="false">
      <c r="A8" s="9" t="s">
        <v>296</v>
      </c>
      <c r="B8" s="8" t="s">
        <v>297</v>
      </c>
      <c r="C8" s="8" t="s">
        <v>298</v>
      </c>
      <c r="D8" s="9" t="n">
        <v>5</v>
      </c>
      <c r="E8" s="9" t="s">
        <v>231</v>
      </c>
    </row>
    <row r="9" customFormat="false" ht="23.85" hidden="false" customHeight="false" outlineLevel="0" collapsed="false">
      <c r="A9" s="17" t="s">
        <v>299</v>
      </c>
      <c r="B9" s="16" t="s">
        <v>300</v>
      </c>
      <c r="C9" s="16" t="s">
        <v>301</v>
      </c>
      <c r="D9" s="17" t="n">
        <v>2</v>
      </c>
      <c r="E9" s="17" t="s">
        <v>231</v>
      </c>
    </row>
    <row r="10" customFormat="false" ht="23.85" hidden="false" customHeight="false" outlineLevel="0" collapsed="false">
      <c r="A10" s="9" t="s">
        <v>302</v>
      </c>
      <c r="B10" s="8" t="s">
        <v>303</v>
      </c>
      <c r="C10" s="8" t="s">
        <v>304</v>
      </c>
      <c r="D10" s="9" t="n">
        <v>1</v>
      </c>
      <c r="E10" s="9" t="s">
        <v>231</v>
      </c>
    </row>
    <row r="11" customFormat="false" ht="23.85" hidden="false" customHeight="false" outlineLevel="0" collapsed="false">
      <c r="A11" s="17" t="s">
        <v>305</v>
      </c>
      <c r="B11" s="16" t="s">
        <v>306</v>
      </c>
      <c r="C11" s="16" t="s">
        <v>307</v>
      </c>
      <c r="D11" s="17" t="n">
        <v>2</v>
      </c>
      <c r="E11" s="17" t="s">
        <v>231</v>
      </c>
    </row>
    <row r="12" customFormat="false" ht="23.85" hidden="false" customHeight="false" outlineLevel="0" collapsed="false">
      <c r="A12" s="9" t="s">
        <v>308</v>
      </c>
      <c r="B12" s="8" t="s">
        <v>309</v>
      </c>
      <c r="C12" s="8" t="s">
        <v>310</v>
      </c>
      <c r="D12" s="9" t="n">
        <v>3</v>
      </c>
      <c r="E12" s="9" t="s">
        <v>311</v>
      </c>
    </row>
    <row r="13" customFormat="false" ht="23.85" hidden="false" customHeight="false" outlineLevel="0" collapsed="false">
      <c r="A13" s="17" t="s">
        <v>312</v>
      </c>
      <c r="B13" s="16" t="s">
        <v>313</v>
      </c>
      <c r="C13" s="16" t="s">
        <v>314</v>
      </c>
      <c r="D13" s="17" t="n">
        <v>1</v>
      </c>
      <c r="E13" s="17" t="s">
        <v>231</v>
      </c>
    </row>
    <row r="14" customFormat="false" ht="23.85" hidden="false" customHeight="false" outlineLevel="0" collapsed="false">
      <c r="A14" s="9" t="s">
        <v>315</v>
      </c>
      <c r="B14" s="8" t="s">
        <v>316</v>
      </c>
      <c r="C14" s="8" t="s">
        <v>317</v>
      </c>
      <c r="D14" s="9" t="n">
        <v>1</v>
      </c>
      <c r="E14" s="9" t="s">
        <v>231</v>
      </c>
    </row>
    <row r="16" customFormat="false" ht="22.35" hidden="false" customHeight="true" outlineLevel="0" collapsed="false">
      <c r="A16" s="27" t="s">
        <v>318</v>
      </c>
      <c r="B16" s="27"/>
      <c r="C16" s="27"/>
      <c r="D16" s="27"/>
      <c r="E16" s="27"/>
    </row>
  </sheetData>
  <mergeCells count="1">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2026-08-06T12:09:04Z</dcterms:created>
  <dc:creator>openpyxl</dc:creator>
  <dc:description/>
  <dc:language>en-US</dc:language>
  <cp:lastModifiedBy/>
  <dcterms:modified xsi:type="dcterms:W3CDTF">2026-08-06T12:09:04Z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